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e6fada5bac88e40/Documents/EDHEC/Third Term/Advanced Derivatives/"/>
    </mc:Choice>
  </mc:AlternateContent>
  <xr:revisionPtr revIDLastSave="0" documentId="8_{0B816A90-E152-417D-BCF8-C0D749CEF692}" xr6:coauthVersionLast="47" xr6:coauthVersionMax="47" xr10:uidLastSave="{00000000-0000-0000-0000-000000000000}"/>
  <bookViews>
    <workbookView xWindow="-108" yWindow="-108" windowWidth="23256" windowHeight="12576" xr2:uid="{0129BE9E-3E74-4BC8-85FB-981B5373321F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C23" i="1"/>
  <c r="K20" i="1" a="1"/>
  <c r="K10" i="1" a="1"/>
  <c r="K11" i="1" a="1"/>
  <c r="K15" i="1" a="1"/>
  <c r="B11" i="1" a="1"/>
  <c r="K4" i="1" a="1"/>
  <c r="K14" i="1" a="1"/>
  <c r="K16" i="1" a="1"/>
  <c r="K21" i="1" a="1"/>
  <c r="K22" i="1" a="1"/>
  <c r="K19" i="1" a="1"/>
  <c r="K12" i="1" a="1"/>
  <c r="K5" i="1" a="1"/>
  <c r="K9" i="1" a="1"/>
  <c r="K6" i="1" a="1"/>
  <c r="B12" i="1" a="1"/>
  <c r="K18" i="1" a="1"/>
  <c r="K13" i="1" a="1"/>
  <c r="K17" i="1" a="1"/>
  <c r="K8" i="1" a="1"/>
  <c r="K7" i="1" a="1"/>
  <c r="K23" i="1" l="1"/>
  <c r="K12" i="1"/>
  <c r="K19" i="1"/>
  <c r="K15" i="1"/>
  <c r="K11" i="1"/>
  <c r="K7" i="1"/>
  <c r="K8" i="1"/>
  <c r="K18" i="1"/>
  <c r="K6" i="1"/>
  <c r="K16" i="1"/>
  <c r="K22" i="1"/>
  <c r="K14" i="1"/>
  <c r="K10" i="1"/>
  <c r="K20" i="1"/>
  <c r="K17" i="1"/>
  <c r="K13" i="1"/>
  <c r="K9" i="1"/>
  <c r="K5" i="1"/>
  <c r="K21" i="1"/>
  <c r="K4" i="1"/>
  <c r="G15" i="1"/>
  <c r="H15" i="1" s="1"/>
  <c r="G10" i="1"/>
  <c r="H10" i="1" s="1"/>
  <c r="G12" i="1"/>
  <c r="H12" i="1" s="1"/>
  <c r="G3" i="1"/>
  <c r="B12" i="1"/>
  <c r="B11" i="1"/>
  <c r="G23" i="1" l="1"/>
  <c r="H23" i="1" s="1"/>
  <c r="G18" i="1"/>
  <c r="H18" i="1" s="1"/>
  <c r="G5" i="1"/>
  <c r="H5" i="1" s="1"/>
  <c r="G13" i="1"/>
  <c r="H13" i="1" s="1"/>
  <c r="G9" i="1"/>
  <c r="H9" i="1" s="1"/>
  <c r="G20" i="1"/>
  <c r="H20" i="1" s="1"/>
  <c r="G17" i="1"/>
  <c r="H17" i="1" s="1"/>
  <c r="G7" i="1"/>
  <c r="H7" i="1" s="1"/>
  <c r="N8" i="1"/>
  <c r="N16" i="1"/>
  <c r="N3" i="1"/>
  <c r="N9" i="1"/>
  <c r="N17" i="1"/>
  <c r="N10" i="1"/>
  <c r="N18" i="1"/>
  <c r="N11" i="1"/>
  <c r="N19" i="1"/>
  <c r="N4" i="1"/>
  <c r="N12" i="1"/>
  <c r="N20" i="1"/>
  <c r="N5" i="1"/>
  <c r="N13" i="1"/>
  <c r="N21" i="1"/>
  <c r="N6" i="1"/>
  <c r="N14" i="1"/>
  <c r="N22" i="1"/>
  <c r="N7" i="1"/>
  <c r="N15" i="1"/>
  <c r="N23" i="1"/>
  <c r="H3" i="1"/>
  <c r="I3" i="1" s="1"/>
  <c r="J4" i="1" s="1"/>
  <c r="M3" i="1"/>
  <c r="G21" i="1"/>
  <c r="H21" i="1" s="1"/>
  <c r="G11" i="1"/>
  <c r="H11" i="1" s="1"/>
  <c r="G4" i="1"/>
  <c r="H4" i="1" s="1"/>
  <c r="G6" i="1"/>
  <c r="H6" i="1" s="1"/>
  <c r="G8" i="1"/>
  <c r="H8" i="1" s="1"/>
  <c r="G14" i="1"/>
  <c r="H14" i="1" s="1"/>
  <c r="G19" i="1"/>
  <c r="H19" i="1" s="1"/>
  <c r="G22" i="1"/>
  <c r="H22" i="1" s="1"/>
  <c r="G16" i="1"/>
  <c r="H16" i="1" s="1"/>
  <c r="I4" i="1" l="1"/>
  <c r="P4" i="1" s="1"/>
  <c r="M21" i="1"/>
  <c r="M13" i="1"/>
  <c r="M17" i="1"/>
  <c r="M4" i="1"/>
  <c r="M9" i="1"/>
  <c r="M19" i="1"/>
  <c r="M16" i="1"/>
  <c r="M22" i="1"/>
  <c r="M14" i="1"/>
  <c r="M6" i="1"/>
  <c r="M11" i="1"/>
  <c r="P3" i="1"/>
  <c r="Q3" i="1" s="1"/>
  <c r="L3" i="1"/>
  <c r="O3" i="1" s="1"/>
  <c r="M23" i="1"/>
  <c r="M8" i="1"/>
  <c r="M5" i="1"/>
  <c r="M18" i="1"/>
  <c r="M15" i="1"/>
  <c r="M20" i="1"/>
  <c r="M10" i="1"/>
  <c r="M7" i="1"/>
  <c r="M12" i="1"/>
  <c r="J5" i="1" l="1"/>
  <c r="I5" i="1" s="1"/>
  <c r="P5" i="1" s="1"/>
  <c r="L4" i="1"/>
  <c r="O4" i="1" s="1"/>
  <c r="Q4" i="1"/>
  <c r="J6" i="1" l="1"/>
  <c r="I6" i="1" s="1"/>
  <c r="P6" i="1" s="1"/>
  <c r="Q5" i="1"/>
  <c r="L5" i="1"/>
  <c r="O5" i="1" s="1"/>
  <c r="J7" i="1" l="1"/>
  <c r="I7" i="1" s="1"/>
  <c r="P7" i="1" s="1"/>
  <c r="Q6" i="1"/>
  <c r="L6" i="1"/>
  <c r="O6" i="1" s="1"/>
  <c r="J8" i="1" l="1"/>
  <c r="I8" i="1" s="1"/>
  <c r="P8" i="1" s="1"/>
  <c r="Q7" i="1"/>
  <c r="L7" i="1"/>
  <c r="O7" i="1" s="1"/>
  <c r="J9" i="1" l="1"/>
  <c r="I9" i="1" s="1"/>
  <c r="P9" i="1" s="1"/>
  <c r="Q8" i="1"/>
  <c r="L8" i="1"/>
  <c r="O8" i="1" s="1"/>
  <c r="J10" i="1" l="1"/>
  <c r="I10" i="1" s="1"/>
  <c r="P10" i="1" s="1"/>
  <c r="L9" i="1"/>
  <c r="O9" i="1" s="1"/>
  <c r="Q9" i="1"/>
  <c r="J11" i="1" l="1"/>
  <c r="I11" i="1" s="1"/>
  <c r="P11" i="1" s="1"/>
  <c r="L10" i="1"/>
  <c r="O10" i="1" s="1"/>
  <c r="Q10" i="1"/>
  <c r="J12" i="1" l="1"/>
  <c r="I12" i="1" s="1"/>
  <c r="P12" i="1" s="1"/>
  <c r="L11" i="1"/>
  <c r="O11" i="1" s="1"/>
  <c r="Q11" i="1"/>
  <c r="J13" i="1" l="1"/>
  <c r="I13" i="1" s="1"/>
  <c r="P13" i="1" s="1"/>
  <c r="Q12" i="1"/>
  <c r="L12" i="1"/>
  <c r="O12" i="1" s="1"/>
  <c r="J14" i="1" l="1"/>
  <c r="I14" i="1" s="1"/>
  <c r="P14" i="1" s="1"/>
  <c r="Q13" i="1"/>
  <c r="L13" i="1"/>
  <c r="O13" i="1" s="1"/>
  <c r="J15" i="1" l="1"/>
  <c r="I15" i="1" s="1"/>
  <c r="P15" i="1" s="1"/>
  <c r="Q14" i="1"/>
  <c r="L14" i="1"/>
  <c r="O14" i="1" s="1"/>
  <c r="J16" i="1" l="1"/>
  <c r="I16" i="1" s="1"/>
  <c r="P16" i="1" s="1"/>
  <c r="Q15" i="1"/>
  <c r="L15" i="1"/>
  <c r="O15" i="1" s="1"/>
  <c r="J17" i="1" l="1"/>
  <c r="I17" i="1" s="1"/>
  <c r="P17" i="1" s="1"/>
  <c r="Q16" i="1"/>
  <c r="L16" i="1"/>
  <c r="O16" i="1" s="1"/>
  <c r="J18" i="1" l="1"/>
  <c r="I18" i="1" s="1"/>
  <c r="P18" i="1" s="1"/>
  <c r="L17" i="1"/>
  <c r="O17" i="1" s="1"/>
  <c r="Q17" i="1"/>
  <c r="J19" i="1" l="1"/>
  <c r="I19" i="1" s="1"/>
  <c r="P19" i="1" s="1"/>
  <c r="L18" i="1"/>
  <c r="O18" i="1" s="1"/>
  <c r="Q18" i="1"/>
  <c r="J20" i="1" l="1"/>
  <c r="I20" i="1" s="1"/>
  <c r="P20" i="1" s="1"/>
  <c r="L19" i="1"/>
  <c r="O19" i="1" s="1"/>
  <c r="Q19" i="1"/>
  <c r="J21" i="1" l="1"/>
  <c r="I21" i="1" s="1"/>
  <c r="P21" i="1" s="1"/>
  <c r="Q20" i="1"/>
  <c r="L20" i="1"/>
  <c r="O20" i="1" s="1"/>
  <c r="J22" i="1" l="1"/>
  <c r="I22" i="1" s="1"/>
  <c r="Q21" i="1"/>
  <c r="L21" i="1"/>
  <c r="O21" i="1" s="1"/>
  <c r="P22" i="1" l="1"/>
  <c r="Q22" i="1" s="1"/>
  <c r="J23" i="1"/>
  <c r="I23" i="1" s="1"/>
  <c r="L22" i="1"/>
  <c r="O22" i="1" s="1"/>
  <c r="P23" i="1" l="1"/>
  <c r="Q23" i="1" s="1"/>
  <c r="L23" i="1"/>
  <c r="O23" i="1" s="1"/>
  <c r="F25" i="1" l="1"/>
  <c r="F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<sst xmlns="http://schemas.openxmlformats.org/spreadsheetml/2006/main" count="23" uniqueCount="22">
  <si>
    <t>Price</t>
  </si>
  <si>
    <t>Strike</t>
  </si>
  <si>
    <t>T</t>
  </si>
  <si>
    <t>r</t>
  </si>
  <si>
    <t>sigma</t>
  </si>
  <si>
    <t>d</t>
  </si>
  <si>
    <t>mu</t>
  </si>
  <si>
    <t>BS</t>
  </si>
  <si>
    <t>Call</t>
  </si>
  <si>
    <t>Delta</t>
  </si>
  <si>
    <t>Change in Cash</t>
  </si>
  <si>
    <t>Change in S</t>
  </si>
  <si>
    <t>Change in Call Value</t>
  </si>
  <si>
    <t>Stock Price</t>
  </si>
  <si>
    <t>Shares P</t>
  </si>
  <si>
    <t>Cost of Shares</t>
  </si>
  <si>
    <t>Cum $ + int</t>
  </si>
  <si>
    <t>Int</t>
  </si>
  <si>
    <t>Call Value</t>
  </si>
  <si>
    <t>Error</t>
  </si>
  <si>
    <t>Total Value</t>
  </si>
  <si>
    <t>Error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</si>
</sst>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0.00000"/>
    <numFmt numFmtId="166" formatCode="_(&quot;$&quot;* #,##0.000_);_(&quot;$&quot;* \(#,##0.000\);_(&quot;$&quot;* &quot;-&quot;???_);_(@_)"/>
    <numFmt numFmtId="167" formatCode="_(&quot;$&quot;* #,##0.000_);_(&quot;$&quot;* \(#,##0.000\);_(&quot;$&quot;* &quot;-&quot;??_);_(@_)"/>
    <numFmt numFmtId="168" formatCode="_(&quot;$&quot;* #,##0.0000_);_(&quot;$&quot;* \(#,##0.0000\);_(&quot;$&quot;* &quot;-&quot;??_);_(@_)"/>
    <numFmt numFmtId="169" formatCode="_(&quot;$&quot;* #,##0.0000_);_(&quot;$&quot;* \(#,##0.0000\);_(&quot;$&quot;* &quot;-&quot;??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44" fontId="0" fillId="0" borderId="0" xfId="1" applyFont="1"/>
    <xf numFmtId="9" fontId="0" fillId="0" borderId="0" xfId="2" applyFon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44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0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1D6C1-BF9B-43CF-BEEB-CFEFE55AED9D}">
  <sheetPr codeName="Sheet1"/>
  <dimension ref="A2:Q26"/>
  <sheetViews>
    <sheetView tabSelected="1" workbookViewId="0">
      <selection activeCell="E3" sqref="E3"/>
    </sheetView>
  </sheetViews>
  <sheetFormatPr defaultRowHeight="14.4" x14ac:dyDescent="0.3"/>
  <cols>
    <col min="6" max="6" width="9.5546875" customWidth="1"/>
    <col min="7" max="7" width="9.21875" bestFit="1" customWidth="1"/>
    <col min="8" max="8" width="12.6640625" bestFit="1" customWidth="1"/>
    <col min="9" max="9" width="10.109375" bestFit="1" customWidth="1"/>
    <col min="12" max="12" width="13.33203125" bestFit="1" customWidth="1"/>
    <col min="13" max="13" width="10.21875" bestFit="1" customWidth="1"/>
    <col min="14" max="14" width="17.5546875" bestFit="1" customWidth="1"/>
    <col min="15" max="15" width="10.21875" bestFit="1" customWidth="1"/>
  </cols>
  <sheetData>
    <row r="2" spans="1:17" x14ac:dyDescent="0.3">
      <c r="E2" t="s">
        <v>13</v>
      </c>
      <c r="F2" t="s">
        <v>9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10</v>
      </c>
      <c r="M2" t="s">
        <v>11</v>
      </c>
      <c r="N2" t="s">
        <v>12</v>
      </c>
      <c r="O2" t="s">
        <v>19</v>
      </c>
      <c r="P2" t="s">
        <v>20</v>
      </c>
      <c r="Q2" t="s">
        <v>21</v>
      </c>
    </row>
    <row r="3" spans="1:17" x14ac:dyDescent="0.3">
      <c r="A3" t="s">
        <v>0</v>
      </c>
      <c r="B3" s="1">
        <v>19.149999999999999</v>
      </c>
      <c r="D3">
        <v>0</v>
      </c>
      <c r="E3" s="1">
        <v>100</v>
      </c>
      <c r="F3" s="3">
        <v>0.52482899999999999</v>
      </c>
      <c r="G3" s="3">
        <f>F3</f>
        <v>0.52482899999999999</v>
      </c>
      <c r="H3" s="6">
        <f>G3*E3</f>
        <v>52.482900000000001</v>
      </c>
      <c r="I3" s="9">
        <f>SUM($H$3:H3)-K3</f>
        <v>46.565209000000003</v>
      </c>
      <c r="K3" s="8">
        <v>5.9176909999999996</v>
      </c>
      <c r="L3" s="10">
        <f>I3-$I$3</f>
        <v>0</v>
      </c>
      <c r="M3" s="7">
        <f>SUM($G$3:G3)*E3-$G$3*$E$3</f>
        <v>0</v>
      </c>
      <c r="N3" s="7">
        <f>K3-$K$3</f>
        <v>0</v>
      </c>
      <c r="O3" s="10">
        <f>+M3-N3-L3</f>
        <v>0</v>
      </c>
      <c r="P3" s="7">
        <f>-I3+SUM($G$3:G3)*E3</f>
        <v>5.9176909999999978</v>
      </c>
      <c r="Q3" s="7">
        <f>P3-K3</f>
        <v>0</v>
      </c>
    </row>
    <row r="4" spans="1:17" x14ac:dyDescent="0.3">
      <c r="A4" t="s">
        <v>1</v>
      </c>
      <c r="B4" s="1">
        <v>100</v>
      </c>
      <c r="D4">
        <v>1</v>
      </c>
      <c r="E4" s="1">
        <v>101.80571500000001</v>
      </c>
      <c r="F4" s="3">
        <v>0.57229200000000002</v>
      </c>
      <c r="G4" s="3">
        <f>F4-F3</f>
        <v>4.7463000000000033E-2</v>
      </c>
      <c r="H4" s="9">
        <f>G4*E4</f>
        <v>4.8320046510450041</v>
      </c>
      <c r="I4" s="9">
        <f t="shared" ref="I4:I23" si="0">I3+J4+H4</f>
        <v>51.416495638667044</v>
      </c>
      <c r="J4" s="8">
        <f t="shared" ref="J4:J23" si="1">I3*(EXP($B$7*$B$5/$D$23)-1)</f>
        <v>1.9281987622035274E-2</v>
      </c>
      <c r="K4" s="8" cm="1">
        <f t="array" ref="K4">BlackScholes($B$10,E4,$B$4,$B$8,$B$7,($B$5-$B$5*(D4/$D$23)))</f>
        <v>9.1666439651429013</v>
      </c>
      <c r="L4" s="10">
        <f t="shared" ref="L4:L23" si="2">I4-$I$3</f>
        <v>4.851286638667041</v>
      </c>
      <c r="M4" s="7">
        <f>SUM($G$3:G4)*E4-$G$3*$E$3</f>
        <v>5.7796962487800059</v>
      </c>
      <c r="N4" s="7">
        <f t="shared" ref="N4:N23" si="3">K4-$K$3</f>
        <v>3.2489529651429017</v>
      </c>
      <c r="O4" s="10">
        <f t="shared" ref="O4:O23" si="4">+M4-N4-L4</f>
        <v>-2.3205433550299368</v>
      </c>
      <c r="P4" s="7">
        <f>-I4+SUM($G$3:G4)*E4</f>
        <v>6.8461006101129627</v>
      </c>
      <c r="Q4" s="7">
        <f t="shared" ref="Q4:Q23" si="5">P4-K4</f>
        <v>-2.3205433550299386</v>
      </c>
    </row>
    <row r="5" spans="1:17" x14ac:dyDescent="0.3">
      <c r="A5" t="s">
        <v>2</v>
      </c>
      <c r="B5" s="4">
        <v>1</v>
      </c>
      <c r="D5">
        <v>2</v>
      </c>
      <c r="E5" s="1">
        <v>97.148866999999996</v>
      </c>
      <c r="F5" s="3">
        <v>0.44356600000000002</v>
      </c>
      <c r="G5" s="3">
        <f t="shared" ref="G5:G23" si="6">F5-F4</f>
        <v>-0.12872600000000001</v>
      </c>
      <c r="H5" s="9">
        <f t="shared" ref="H5:H22" si="7">G5*E5</f>
        <v>-12.505585053442001</v>
      </c>
      <c r="I5" s="9">
        <f t="shared" si="0"/>
        <v>38.932201421318425</v>
      </c>
      <c r="J5" s="8">
        <f t="shared" si="1"/>
        <v>2.1290836093384839E-2</v>
      </c>
      <c r="K5" s="8" cm="1">
        <f t="array" ref="K5">BlackScholes($B$10,E5,$B$4,$B$8,$B$7,($B$5-$B$5*(D5/$D$23)))</f>
        <v>6.4152619214083284</v>
      </c>
      <c r="L5" s="10">
        <f t="shared" si="2"/>
        <v>-7.6330075786815783</v>
      </c>
      <c r="M5" s="7">
        <f>SUM($G$3:G5)*E5-$G$3*$E$3</f>
        <v>-9.3909656602779989</v>
      </c>
      <c r="N5" s="7">
        <f t="shared" si="3"/>
        <v>0.49757092140832881</v>
      </c>
      <c r="O5" s="10">
        <f t="shared" si="4"/>
        <v>-2.2555290030047495</v>
      </c>
      <c r="P5" s="7">
        <f>-I5+SUM($G$3:G5)*E5</f>
        <v>4.1597329184035772</v>
      </c>
      <c r="Q5" s="7">
        <f t="shared" si="5"/>
        <v>-2.2555290030047512</v>
      </c>
    </row>
    <row r="6" spans="1:17" x14ac:dyDescent="0.3">
      <c r="A6" t="s">
        <v>6</v>
      </c>
      <c r="B6" s="2">
        <v>0.1</v>
      </c>
      <c r="D6">
        <v>3</v>
      </c>
      <c r="E6" s="1">
        <v>99.627121000000002</v>
      </c>
      <c r="F6" s="3">
        <v>0.51258499999999996</v>
      </c>
      <c r="G6" s="3">
        <f t="shared" si="6"/>
        <v>6.9018999999999942E-2</v>
      </c>
      <c r="H6" s="9">
        <f t="shared" si="7"/>
        <v>6.8761642642989944</v>
      </c>
      <c r="I6" s="9">
        <f t="shared" si="0"/>
        <v>45.824486953878115</v>
      </c>
      <c r="J6" s="8">
        <f t="shared" si="1"/>
        <v>1.6121268260697506E-2</v>
      </c>
      <c r="K6" s="8" cm="1">
        <f t="array" ref="K6">BlackScholes($B$10,E6,$B$4,$B$8,$B$7,($B$5-$B$5*(D6/$D$23)))</f>
        <v>7.4716520449168717</v>
      </c>
      <c r="L6" s="10">
        <f t="shared" si="2"/>
        <v>-0.74072204612188841</v>
      </c>
      <c r="M6" s="7">
        <f>SUM($G$3:G6)*E6-$G$3*$E$3</f>
        <v>-1.4155321822150029</v>
      </c>
      <c r="N6" s="7">
        <f t="shared" si="3"/>
        <v>1.5539610449168721</v>
      </c>
      <c r="O6" s="10">
        <f t="shared" si="4"/>
        <v>-2.2287711810099866</v>
      </c>
      <c r="P6" s="7">
        <f>-I6+SUM($G$3:G6)*E6</f>
        <v>5.2428808639068833</v>
      </c>
      <c r="Q6" s="7">
        <f t="shared" si="5"/>
        <v>-2.2287711810099884</v>
      </c>
    </row>
    <row r="7" spans="1:17" x14ac:dyDescent="0.3">
      <c r="A7" t="s">
        <v>3</v>
      </c>
      <c r="B7" s="11">
        <v>8.2799999999999992E-3</v>
      </c>
      <c r="D7">
        <v>4</v>
      </c>
      <c r="E7" s="1">
        <v>104.814576</v>
      </c>
      <c r="F7" s="3">
        <v>0.65690700000000002</v>
      </c>
      <c r="G7" s="3">
        <f t="shared" si="6"/>
        <v>0.14432200000000006</v>
      </c>
      <c r="H7" s="9">
        <f t="shared" si="7"/>
        <v>15.127049237472006</v>
      </c>
      <c r="I7" s="9">
        <f t="shared" si="0"/>
        <v>60.970511456557901</v>
      </c>
      <c r="J7" s="8">
        <f t="shared" si="1"/>
        <v>1.8975265207781943E-2</v>
      </c>
      <c r="K7" s="8" cm="1">
        <f t="array" ref="K7">BlackScholes($B$10,E7,$B$4,$B$8,$B$7,($B$5-$B$5*(D7/$D$23)))</f>
        <v>10.336195446304265</v>
      </c>
      <c r="L7" s="10">
        <f t="shared" si="2"/>
        <v>14.405302456557898</v>
      </c>
      <c r="M7" s="7">
        <f>SUM($G$3:G7)*E7-$G$3*$E$3</f>
        <v>16.370528676432002</v>
      </c>
      <c r="N7" s="7">
        <f t="shared" si="3"/>
        <v>4.4185044463042651</v>
      </c>
      <c r="O7" s="10">
        <f t="shared" si="4"/>
        <v>-2.4532782264301609</v>
      </c>
      <c r="P7" s="7">
        <f>-I7+SUM($G$3:G7)*E7</f>
        <v>7.882917219874102</v>
      </c>
      <c r="Q7" s="7">
        <f t="shared" si="5"/>
        <v>-2.4532782264301627</v>
      </c>
    </row>
    <row r="8" spans="1:17" x14ac:dyDescent="0.3">
      <c r="A8" t="s">
        <v>4</v>
      </c>
      <c r="B8" s="2">
        <v>0.2</v>
      </c>
      <c r="D8">
        <v>5</v>
      </c>
      <c r="E8" s="1">
        <v>95.743471</v>
      </c>
      <c r="F8" s="3">
        <v>0.39096900000000001</v>
      </c>
      <c r="G8" s="3">
        <f t="shared" si="6"/>
        <v>-0.26593800000000001</v>
      </c>
      <c r="H8" s="9">
        <f t="shared" si="7"/>
        <v>-25.461827190798001</v>
      </c>
      <c r="I8" s="9">
        <f t="shared" si="0"/>
        <v>35.533931283274939</v>
      </c>
      <c r="J8" s="8">
        <f t="shared" si="1"/>
        <v>2.5247017515040236E-2</v>
      </c>
      <c r="K8" s="8" cm="1">
        <f t="array" ref="K8">BlackScholes($B$10,E8,$B$4,$B$8,$B$7,($B$5-$B$5*(D8/$D$23)))</f>
        <v>5.0693161216485452</v>
      </c>
      <c r="L8" s="10">
        <f t="shared" si="2"/>
        <v>-11.031277716725064</v>
      </c>
      <c r="M8" s="7">
        <f>SUM($G$3:G8)*E8-$G$3*$E$3</f>
        <v>-15.050170886601002</v>
      </c>
      <c r="N8" s="7">
        <f t="shared" si="3"/>
        <v>-0.84837487835145442</v>
      </c>
      <c r="O8" s="10">
        <f t="shared" si="4"/>
        <v>-3.1705182915244841</v>
      </c>
      <c r="P8" s="7">
        <f>-I8+SUM($G$3:G8)*E8</f>
        <v>1.8987978301240602</v>
      </c>
      <c r="Q8" s="7">
        <f t="shared" si="5"/>
        <v>-3.1705182915244849</v>
      </c>
    </row>
    <row r="9" spans="1:17" x14ac:dyDescent="0.3">
      <c r="A9" t="s">
        <v>5</v>
      </c>
      <c r="B9" s="2">
        <v>0</v>
      </c>
      <c r="D9">
        <v>6</v>
      </c>
      <c r="E9" s="1">
        <v>98.700837000000007</v>
      </c>
      <c r="F9" s="3">
        <v>0.48028999999999999</v>
      </c>
      <c r="G9" s="3">
        <f t="shared" si="6"/>
        <v>8.9320999999999984E-2</v>
      </c>
      <c r="H9" s="9">
        <f t="shared" si="7"/>
        <v>8.8160574616769996</v>
      </c>
      <c r="I9" s="9">
        <f t="shared" si="0"/>
        <v>44.36470283811034</v>
      </c>
      <c r="J9" s="8">
        <f t="shared" si="1"/>
        <v>1.4714093158399853E-2</v>
      </c>
      <c r="K9" s="8" cm="1">
        <f t="array" ref="K9">BlackScholes($B$10,E9,$B$4,$B$8,$B$7,($B$5-$B$5*(D9/$D$23)))</f>
        <v>6.2508190496854876</v>
      </c>
      <c r="L9" s="10">
        <f t="shared" si="2"/>
        <v>-2.2005061618896633</v>
      </c>
      <c r="M9" s="7">
        <f>SUM($G$3:G9)*E9-$G$3*$E$3</f>
        <v>-5.0778749972700012</v>
      </c>
      <c r="N9" s="7">
        <f t="shared" si="3"/>
        <v>0.33312804968548804</v>
      </c>
      <c r="O9" s="10">
        <f t="shared" si="4"/>
        <v>-3.210496885065826</v>
      </c>
      <c r="P9" s="7">
        <f>-I9+SUM($G$3:G9)*E9</f>
        <v>3.0403221646196599</v>
      </c>
      <c r="Q9" s="7">
        <f t="shared" si="5"/>
        <v>-3.2104968850658278</v>
      </c>
    </row>
    <row r="10" spans="1:17" x14ac:dyDescent="0.3">
      <c r="B10" t="s">
        <v>8</v>
      </c>
      <c r="D10">
        <v>7</v>
      </c>
      <c r="E10" s="1">
        <v>100.197816</v>
      </c>
      <c r="F10" s="3">
        <v>0.52726200000000001</v>
      </c>
      <c r="G10" s="3">
        <f t="shared" si="6"/>
        <v>4.6972000000000014E-2</v>
      </c>
      <c r="H10" s="9">
        <f t="shared" si="7"/>
        <v>4.7064918131520015</v>
      </c>
      <c r="I10" s="9">
        <f t="shared" si="0"/>
        <v>49.08956544072835</v>
      </c>
      <c r="J10" s="8">
        <f t="shared" si="1"/>
        <v>1.8370789466009198E-2</v>
      </c>
      <c r="K10" s="8" cm="1">
        <f t="array" ref="K10">BlackScholes($B$10,E10,$B$4,$B$8,$B$7,($B$5-$B$5*(D10/$D$23)))</f>
        <v>6.7888392120465815</v>
      </c>
      <c r="L10" s="10">
        <f t="shared" si="2"/>
        <v>2.5243564407283472</v>
      </c>
      <c r="M10" s="7">
        <f>SUM($G$3:G10)*E10-$G$3*$E$3</f>
        <v>0.34760085979200284</v>
      </c>
      <c r="N10" s="7">
        <f t="shared" si="3"/>
        <v>0.87114821204658188</v>
      </c>
      <c r="O10" s="10">
        <f t="shared" si="4"/>
        <v>-3.0479037929829262</v>
      </c>
      <c r="P10" s="7">
        <f>-I10+SUM($G$3:G10)*E10</f>
        <v>3.7409354190636535</v>
      </c>
      <c r="Q10" s="7">
        <f t="shared" si="5"/>
        <v>-3.047903792982928</v>
      </c>
    </row>
    <row r="11" spans="1:17" x14ac:dyDescent="0.3">
      <c r="A11" t="s">
        <v>7</v>
      </c>
      <c r="B11" s="5" cm="1">
        <f t="array" ref="B11">BlackScholes(B10,B3,B4,B8,B7,B5)</f>
        <v>1.0184106887410219E-16</v>
      </c>
      <c r="D11">
        <v>8</v>
      </c>
      <c r="E11" s="1">
        <v>99.701590999999993</v>
      </c>
      <c r="F11" s="3">
        <v>0.50997800000000004</v>
      </c>
      <c r="G11" s="3">
        <f t="shared" si="6"/>
        <v>-1.7283999999999966E-2</v>
      </c>
      <c r="H11" s="9">
        <f t="shared" si="7"/>
        <v>-1.7232422988439966</v>
      </c>
      <c r="I11" s="9">
        <f t="shared" si="0"/>
        <v>47.386650429435001</v>
      </c>
      <c r="J11" s="8">
        <f t="shared" si="1"/>
        <v>2.0327287550652131E-2</v>
      </c>
      <c r="K11" s="8" cm="1">
        <f t="array" ref="K11">BlackScholes($B$10,E11,$B$4,$B$8,$B$7,($B$5-$B$5*(D11/$D$23)))</f>
        <v>6.2487867961118688</v>
      </c>
      <c r="L11" s="10">
        <f t="shared" si="2"/>
        <v>0.82144142943499787</v>
      </c>
      <c r="M11" s="7">
        <f>SUM($G$3:G11)*E11-$G$3*$E$3</f>
        <v>-1.6372820250020013</v>
      </c>
      <c r="N11" s="7">
        <f t="shared" si="3"/>
        <v>0.33109579611186923</v>
      </c>
      <c r="O11" s="10">
        <f t="shared" si="4"/>
        <v>-2.7898192505488684</v>
      </c>
      <c r="P11" s="7">
        <f>-I11+SUM($G$3:G11)*E11</f>
        <v>3.4589675455629987</v>
      </c>
      <c r="Q11" s="7">
        <f t="shared" si="5"/>
        <v>-2.7898192505488701</v>
      </c>
    </row>
    <row r="12" spans="1:17" x14ac:dyDescent="0.3">
      <c r="A12" t="s">
        <v>9</v>
      </c>
      <c r="B12" s="3" cm="1">
        <f t="array" ref="B12">Delta_O(B10,B3,B4,B8,B7,B5)</f>
        <v>2.2751711588244409E-16</v>
      </c>
      <c r="D12">
        <v>9</v>
      </c>
      <c r="E12" s="1">
        <v>103.99468899999999</v>
      </c>
      <c r="F12" s="3">
        <v>0.65444000000000002</v>
      </c>
      <c r="G12" s="3">
        <f t="shared" si="6"/>
        <v>0.14446199999999998</v>
      </c>
      <c r="H12" s="9">
        <f t="shared" si="7"/>
        <v>15.023280762317997</v>
      </c>
      <c r="I12" s="9">
        <f t="shared" si="0"/>
        <v>62.429553326532421</v>
      </c>
      <c r="J12" s="8">
        <f t="shared" si="1"/>
        <v>1.9622134779424656E-2</v>
      </c>
      <c r="K12" s="8" cm="1">
        <f t="array" ref="K12">BlackScholes($B$10,E12,$B$4,$B$8,$B$7,($B$5-$B$5*(D12/$D$23)))</f>
        <v>8.5000411896603421</v>
      </c>
      <c r="L12" s="10">
        <f t="shared" si="2"/>
        <v>15.864344326532418</v>
      </c>
      <c r="M12" s="7">
        <f>SUM($G$3:G12)*E12-$G$3*$E$3</f>
        <v>15.575384269159997</v>
      </c>
      <c r="N12" s="7">
        <f t="shared" si="3"/>
        <v>2.5823501896603425</v>
      </c>
      <c r="O12" s="10">
        <f t="shared" si="4"/>
        <v>-2.8713102470327634</v>
      </c>
      <c r="P12" s="7">
        <f>-I12+SUM($G$3:G12)*E12</f>
        <v>5.6287309426275769</v>
      </c>
      <c r="Q12" s="7">
        <f t="shared" si="5"/>
        <v>-2.8713102470327652</v>
      </c>
    </row>
    <row r="13" spans="1:17" x14ac:dyDescent="0.3">
      <c r="D13">
        <v>10</v>
      </c>
      <c r="E13" s="1">
        <v>103.85189099999999</v>
      </c>
      <c r="F13" s="3">
        <v>0.65521700000000005</v>
      </c>
      <c r="G13" s="3">
        <f t="shared" si="6"/>
        <v>7.7700000000002767E-4</v>
      </c>
      <c r="H13" s="9">
        <f t="shared" si="7"/>
        <v>8.0692919307002869E-2</v>
      </c>
      <c r="I13" s="9">
        <f t="shared" si="0"/>
        <v>62.53609743174286</v>
      </c>
      <c r="J13" s="8">
        <f t="shared" si="1"/>
        <v>2.5851185903436814E-2</v>
      </c>
      <c r="K13" s="8" cm="1">
        <f t="array" ref="K13">BlackScholes($B$10,E13,$B$4,$B$8,$B$7,($B$5-$B$5*(D13/$D$23)))</f>
        <v>8.1164515366043535</v>
      </c>
      <c r="L13" s="10">
        <f t="shared" si="2"/>
        <v>15.970888431742857</v>
      </c>
      <c r="M13" s="7">
        <f>SUM($G$3:G13)*E13-$G$3*$E$3</f>
        <v>15.562624465347</v>
      </c>
      <c r="N13" s="7">
        <f t="shared" si="3"/>
        <v>2.1987605366043539</v>
      </c>
      <c r="O13" s="10">
        <f t="shared" si="4"/>
        <v>-2.6070245030002113</v>
      </c>
      <c r="P13" s="7">
        <f>-I13+SUM($G$3:G13)*E13</f>
        <v>5.5094270336041404</v>
      </c>
      <c r="Q13" s="7">
        <f t="shared" si="5"/>
        <v>-2.607024503000213</v>
      </c>
    </row>
    <row r="14" spans="1:17" x14ac:dyDescent="0.3">
      <c r="D14">
        <v>11</v>
      </c>
      <c r="E14" s="1">
        <v>97.839331000000001</v>
      </c>
      <c r="F14" s="3">
        <v>0.43226799999999999</v>
      </c>
      <c r="G14" s="3">
        <f t="shared" si="6"/>
        <v>-0.22294900000000006</v>
      </c>
      <c r="H14" s="9">
        <f t="shared" si="7"/>
        <v>-21.813181007119006</v>
      </c>
      <c r="I14" s="9">
        <f t="shared" si="0"/>
        <v>40.748811728918724</v>
      </c>
      <c r="J14" s="8">
        <f t="shared" si="1"/>
        <v>2.5895304294870823E-2</v>
      </c>
      <c r="K14" s="8" cm="1">
        <f t="array" ref="K14">BlackScholes($B$10,E14,$B$4,$B$8,$B$7,($B$5-$B$5*(D14/$D$23)))</f>
        <v>4.4342409695252458</v>
      </c>
      <c r="L14" s="10">
        <f t="shared" si="2"/>
        <v>-5.8163972710812786</v>
      </c>
      <c r="M14" s="7">
        <f>SUM($G$3:G14)*E14-$G$3*$E$3</f>
        <v>-10.190088067292002</v>
      </c>
      <c r="N14" s="7">
        <f t="shared" si="3"/>
        <v>-1.4834500304747538</v>
      </c>
      <c r="O14" s="10">
        <f t="shared" si="4"/>
        <v>-2.890240765735971</v>
      </c>
      <c r="P14" s="7">
        <f>-I14+SUM($G$3:G14)*E14</f>
        <v>1.5440002037892739</v>
      </c>
      <c r="Q14" s="7">
        <f t="shared" si="5"/>
        <v>-2.8902407657359719</v>
      </c>
    </row>
    <row r="15" spans="1:17" x14ac:dyDescent="0.3">
      <c r="D15">
        <v>12</v>
      </c>
      <c r="E15" s="1">
        <v>95.646882000000005</v>
      </c>
      <c r="F15" s="3">
        <v>0.33576899999999998</v>
      </c>
      <c r="G15" s="3">
        <f t="shared" si="6"/>
        <v>-9.6499000000000001E-2</v>
      </c>
      <c r="H15" s="9">
        <f t="shared" si="7"/>
        <v>-9.2298284661180006</v>
      </c>
      <c r="I15" s="9">
        <f t="shared" si="0"/>
        <v>31.535856763430125</v>
      </c>
      <c r="J15" s="8">
        <f t="shared" si="1"/>
        <v>1.6873500629400302E-2</v>
      </c>
      <c r="K15" s="8" cm="1">
        <f t="array" ref="K15">BlackScholes($B$10,E15,$B$4,$B$8,$B$7,($B$5-$B$5*(D15/$D$23)))</f>
        <v>3.1720772040029042</v>
      </c>
      <c r="L15" s="10">
        <f t="shared" si="2"/>
        <v>-15.029352236569878</v>
      </c>
      <c r="M15" s="7">
        <f>SUM($G$3:G15)*E15-$G$3*$E$3</f>
        <v>-20.367642077741998</v>
      </c>
      <c r="N15" s="7">
        <f t="shared" si="3"/>
        <v>-2.7456137959970954</v>
      </c>
      <c r="O15" s="10">
        <f t="shared" si="4"/>
        <v>-2.5926760451750255</v>
      </c>
      <c r="P15" s="7">
        <f>-I15+SUM($G$3:G15)*E15</f>
        <v>0.57940115882787779</v>
      </c>
      <c r="Q15" s="7">
        <f t="shared" si="5"/>
        <v>-2.5926760451750264</v>
      </c>
    </row>
    <row r="16" spans="1:17" x14ac:dyDescent="0.3">
      <c r="D16">
        <v>13</v>
      </c>
      <c r="E16" s="1">
        <v>96.515916000000004</v>
      </c>
      <c r="F16" s="3">
        <v>0.36059999999999998</v>
      </c>
      <c r="G16" s="3">
        <f t="shared" si="6"/>
        <v>2.4830999999999992E-2</v>
      </c>
      <c r="H16" s="9">
        <f t="shared" si="7"/>
        <v>2.3965867101959994</v>
      </c>
      <c r="I16" s="9">
        <f t="shared" si="0"/>
        <v>33.945502021259031</v>
      </c>
      <c r="J16" s="8">
        <f t="shared" si="1"/>
        <v>1.3058547632906297E-2</v>
      </c>
      <c r="K16" s="8" cm="1">
        <f t="array" ref="K16">BlackScholes($B$10,E16,$B$4,$B$8,$B$7,($B$5-$B$5*(D16/$D$23)))</f>
        <v>3.2052056830797282</v>
      </c>
      <c r="L16" s="10">
        <f t="shared" si="2"/>
        <v>-12.619706978740972</v>
      </c>
      <c r="M16" s="7">
        <f>SUM($G$3:G16)*E16-$G$3*$E$3</f>
        <v>-17.6792606904</v>
      </c>
      <c r="N16" s="7">
        <f t="shared" si="3"/>
        <v>-2.7124853169202714</v>
      </c>
      <c r="O16" s="10">
        <f t="shared" si="4"/>
        <v>-2.3470683947387556</v>
      </c>
      <c r="P16" s="7">
        <f>-I16+SUM($G$3:G16)*E16</f>
        <v>0.85813728834096992</v>
      </c>
      <c r="Q16" s="7">
        <f t="shared" si="5"/>
        <v>-2.3470683947387583</v>
      </c>
    </row>
    <row r="17" spans="3:17" x14ac:dyDescent="0.3">
      <c r="D17">
        <v>14</v>
      </c>
      <c r="E17" s="1">
        <v>104.72935</v>
      </c>
      <c r="F17" s="3">
        <v>0.72360000000000002</v>
      </c>
      <c r="G17" s="3">
        <f t="shared" si="6"/>
        <v>0.36300000000000004</v>
      </c>
      <c r="H17" s="9">
        <f t="shared" si="7"/>
        <v>38.016754050000003</v>
      </c>
      <c r="I17" s="9">
        <f t="shared" si="0"/>
        <v>71.976312418558962</v>
      </c>
      <c r="J17" s="8">
        <f t="shared" si="1"/>
        <v>1.4056347299927075E-2</v>
      </c>
      <c r="K17" s="8" cm="1">
        <f t="array" ref="K17">BlackScholes($B$10,E17,$B$4,$B$8,$B$7,($B$5-$B$5*(D17/$D$23)))</f>
        <v>7.388099817926288</v>
      </c>
      <c r="L17" s="10">
        <f t="shared" si="2"/>
        <v>25.411103418558959</v>
      </c>
      <c r="M17" s="7">
        <f>SUM($G$3:G17)*E17-$G$3*$E$3</f>
        <v>23.299257659999995</v>
      </c>
      <c r="N17" s="7">
        <f t="shared" si="3"/>
        <v>1.4704088179262884</v>
      </c>
      <c r="O17" s="10">
        <f t="shared" si="4"/>
        <v>-3.5822545764852514</v>
      </c>
      <c r="P17" s="7">
        <f>-I17+SUM($G$3:G17)*E17</f>
        <v>3.805845241441034</v>
      </c>
      <c r="Q17" s="7">
        <f t="shared" si="5"/>
        <v>-3.582254576485254</v>
      </c>
    </row>
    <row r="18" spans="3:17" x14ac:dyDescent="0.3">
      <c r="D18">
        <v>15</v>
      </c>
      <c r="E18" s="1">
        <v>101.977334</v>
      </c>
      <c r="F18" s="3">
        <v>0.61541699999999999</v>
      </c>
      <c r="G18" s="3">
        <f t="shared" si="6"/>
        <v>-0.10818300000000003</v>
      </c>
      <c r="H18" s="9">
        <f t="shared" si="7"/>
        <v>-11.032213924122003</v>
      </c>
      <c r="I18" s="9">
        <f t="shared" si="0"/>
        <v>60.973902856855574</v>
      </c>
      <c r="J18" s="8">
        <f t="shared" si="1"/>
        <v>2.9804362418611664E-2</v>
      </c>
      <c r="K18" s="8" cm="1">
        <f t="array" ref="K18">BlackScholes($B$10,E18,$B$4,$B$8,$B$7,($B$5-$B$5*(D18/$D$23)))</f>
        <v>5.2089421487789851</v>
      </c>
      <c r="L18" s="10">
        <f t="shared" si="2"/>
        <v>14.408693856855571</v>
      </c>
      <c r="M18" s="7">
        <f>SUM($G$3:G18)*E18-$G$3*$E$3</f>
        <v>10.275684958277999</v>
      </c>
      <c r="N18" s="7">
        <f t="shared" si="3"/>
        <v>-0.7087488512210145</v>
      </c>
      <c r="O18" s="10">
        <f t="shared" si="4"/>
        <v>-3.4242600473565581</v>
      </c>
      <c r="P18" s="7">
        <f>-I18+SUM($G$3:G18)*E18</f>
        <v>1.7846821014224261</v>
      </c>
      <c r="Q18" s="7">
        <f t="shared" si="5"/>
        <v>-3.424260047356559</v>
      </c>
    </row>
    <row r="19" spans="3:17" x14ac:dyDescent="0.3">
      <c r="D19">
        <v>16</v>
      </c>
      <c r="E19" s="1">
        <v>107.92783</v>
      </c>
      <c r="F19" s="3">
        <v>0.87601399999999996</v>
      </c>
      <c r="G19" s="3">
        <f t="shared" si="6"/>
        <v>0.26059699999999997</v>
      </c>
      <c r="H19" s="9">
        <f t="shared" si="7"/>
        <v>28.125668714509995</v>
      </c>
      <c r="I19" s="9">
        <f t="shared" si="0"/>
        <v>89.124819993211005</v>
      </c>
      <c r="J19" s="8">
        <f t="shared" si="1"/>
        <v>2.5248421845439805E-2</v>
      </c>
      <c r="K19" s="8" cm="1">
        <f t="array" ref="K19">BlackScholes($B$10,E19,$B$4,$B$8,$B$7,($B$5-$B$5*(D19/$D$23)))</f>
        <v>9.074841785995007</v>
      </c>
      <c r="L19" s="10">
        <f t="shared" si="2"/>
        <v>42.559610993211002</v>
      </c>
      <c r="M19" s="7">
        <f>SUM($G$3:G19)*E19-$G$3*$E$3</f>
        <v>42.063390069619999</v>
      </c>
      <c r="N19" s="7">
        <f t="shared" si="3"/>
        <v>3.1571507859950074</v>
      </c>
      <c r="O19" s="10">
        <f t="shared" si="4"/>
        <v>-3.6533717095860112</v>
      </c>
      <c r="P19" s="7">
        <f>-I19+SUM($G$3:G19)*E19</f>
        <v>5.421470076408994</v>
      </c>
      <c r="Q19" s="7">
        <f t="shared" si="5"/>
        <v>-3.653371709586013</v>
      </c>
    </row>
    <row r="20" spans="3:17" x14ac:dyDescent="0.3">
      <c r="D20">
        <v>17</v>
      </c>
      <c r="E20" s="1">
        <v>95.296256</v>
      </c>
      <c r="F20" s="3">
        <v>0.21190300000000001</v>
      </c>
      <c r="G20" s="3">
        <f t="shared" si="6"/>
        <v>-0.6641109999999999</v>
      </c>
      <c r="H20" s="9">
        <f t="shared" si="7"/>
        <v>-63.287291868415991</v>
      </c>
      <c r="I20" s="9">
        <f t="shared" si="0"/>
        <v>25.874433439145164</v>
      </c>
      <c r="J20" s="8">
        <f t="shared" si="1"/>
        <v>3.6905314350145324E-2</v>
      </c>
      <c r="K20" s="8" cm="1">
        <f t="array" ref="K20">BlackScholes($B$10,E20,$B$4,$B$8,$B$7,($B$5-$B$5*(D20/$D$23)))</f>
        <v>1.2618319161202123</v>
      </c>
      <c r="L20" s="10">
        <f t="shared" si="2"/>
        <v>-20.690775560854838</v>
      </c>
      <c r="M20" s="7">
        <f>SUM($G$3:G20)*E20-$G$3*$E$3</f>
        <v>-32.289337464831995</v>
      </c>
      <c r="N20" s="7">
        <f t="shared" si="3"/>
        <v>-4.6558590838797871</v>
      </c>
      <c r="O20" s="10">
        <f t="shared" si="4"/>
        <v>-6.9427028200973702</v>
      </c>
      <c r="P20" s="7">
        <f>-I20+SUM($G$3:G20)*E20</f>
        <v>-5.6808709039771585</v>
      </c>
      <c r="Q20" s="7">
        <f t="shared" si="5"/>
        <v>-6.9427028200973711</v>
      </c>
    </row>
    <row r="21" spans="3:17" x14ac:dyDescent="0.3">
      <c r="D21">
        <v>18</v>
      </c>
      <c r="E21" s="1">
        <v>99.268625</v>
      </c>
      <c r="F21" s="3">
        <v>0.44778099999999998</v>
      </c>
      <c r="G21" s="3">
        <f t="shared" si="6"/>
        <v>0.23587799999999998</v>
      </c>
      <c r="H21" s="9">
        <f t="shared" si="7"/>
        <v>23.415284727749999</v>
      </c>
      <c r="I21" s="9">
        <f t="shared" si="0"/>
        <v>49.3004324000322</v>
      </c>
      <c r="J21" s="8">
        <f t="shared" si="1"/>
        <v>1.0714233137035262E-2</v>
      </c>
      <c r="K21" s="8" cm="1">
        <f t="array" ref="K21">BlackScholes($B$10,E21,$B$4,$B$8,$B$7,($B$5-$B$5*(D21/$D$23)))</f>
        <v>2.2014306133873087</v>
      </c>
      <c r="L21" s="10">
        <f t="shared" si="2"/>
        <v>2.7352234000321971</v>
      </c>
      <c r="M21" s="7">
        <f>SUM($G$3:G21)*E21-$G$3*$E$3</f>
        <v>-8.0322958288750002</v>
      </c>
      <c r="N21" s="7">
        <f t="shared" si="3"/>
        <v>-3.7162603866126909</v>
      </c>
      <c r="O21" s="10">
        <f t="shared" si="4"/>
        <v>-7.0512588422945068</v>
      </c>
      <c r="P21" s="7">
        <f>-I21+SUM($G$3:G21)*E21</f>
        <v>-4.8498282289071994</v>
      </c>
      <c r="Q21" s="7">
        <f t="shared" si="5"/>
        <v>-7.0512588422945086</v>
      </c>
    </row>
    <row r="22" spans="3:17" x14ac:dyDescent="0.3">
      <c r="D22">
        <v>19</v>
      </c>
      <c r="E22" s="1">
        <v>101.527703</v>
      </c>
      <c r="F22" s="3">
        <v>0.67686900000000005</v>
      </c>
      <c r="G22" s="3">
        <f t="shared" si="6"/>
        <v>0.22908800000000007</v>
      </c>
      <c r="H22" s="9">
        <f t="shared" si="7"/>
        <v>23.258778424864008</v>
      </c>
      <c r="I22" s="9">
        <f t="shared" si="0"/>
        <v>72.579625429441379</v>
      </c>
      <c r="J22" s="8">
        <f t="shared" si="1"/>
        <v>2.0414604545174651E-2</v>
      </c>
      <c r="K22" s="8" cm="1">
        <f t="array" ref="K22">BlackScholes($B$10,E22,$B$4,$B$8,$B$7,($B$5-$B$5*(D22/$D$23)))</f>
        <v>2.6896698051494776</v>
      </c>
      <c r="L22" s="10">
        <f t="shared" si="2"/>
        <v>26.014416429441376</v>
      </c>
      <c r="M22" s="7">
        <f>SUM($G$3:G22)*E22-$G$3*$E$3</f>
        <v>16.238054801907012</v>
      </c>
      <c r="N22" s="7">
        <f t="shared" si="3"/>
        <v>-3.228021194850522</v>
      </c>
      <c r="O22" s="10">
        <f t="shared" si="4"/>
        <v>-6.5483404326838404</v>
      </c>
      <c r="P22" s="7">
        <f>-I22+SUM($G$3:G22)*E22</f>
        <v>-3.8586706275343658</v>
      </c>
      <c r="Q22" s="7">
        <f t="shared" si="5"/>
        <v>-6.5483404326838439</v>
      </c>
    </row>
    <row r="23" spans="3:17" x14ac:dyDescent="0.3">
      <c r="C23">
        <f>20*EXP(B7)</f>
        <v>20.16628748013521</v>
      </c>
      <c r="D23">
        <v>20</v>
      </c>
      <c r="E23" s="1">
        <v>99.881375000000006</v>
      </c>
      <c r="F23" s="3">
        <v>0</v>
      </c>
      <c r="G23" s="3">
        <f t="shared" si="6"/>
        <v>-0.67686900000000005</v>
      </c>
      <c r="H23" s="9">
        <f>G23*E23</f>
        <v>-67.606606414875003</v>
      </c>
      <c r="I23" s="9">
        <f t="shared" si="0"/>
        <v>5.0030732002813494</v>
      </c>
      <c r="J23" s="8">
        <f t="shared" si="1"/>
        <v>3.0054185714971132E-2</v>
      </c>
      <c r="K23" s="8">
        <f>IF(E23&gt;B4,E23-B4,0)</f>
        <v>0</v>
      </c>
      <c r="L23" s="10">
        <f t="shared" si="2"/>
        <v>-41.562135799718654</v>
      </c>
      <c r="M23" s="7">
        <f>SUM($G$3:G23)*E23-$G$3*$E$3</f>
        <v>-52.482900000000001</v>
      </c>
      <c r="N23" s="7">
        <f t="shared" si="3"/>
        <v>-5.9176909999999996</v>
      </c>
      <c r="O23" s="10">
        <f t="shared" si="4"/>
        <v>-5.0030732002813494</v>
      </c>
      <c r="P23" s="7">
        <f>-I23+SUM($G$3:G23)*E23</f>
        <v>-5.0030732002813494</v>
      </c>
      <c r="Q23" s="7">
        <f t="shared" si="5"/>
        <v>-5.0030732002813494</v>
      </c>
    </row>
    <row r="24" spans="3:17" x14ac:dyDescent="0.3">
      <c r="F24" s="3"/>
    </row>
    <row r="25" spans="3:17" x14ac:dyDescent="0.3">
      <c r="E25" s="8">
        <f>MAX(E23-B4,0)</f>
        <v>0</v>
      </c>
      <c r="F25" s="7">
        <f>P23</f>
        <v>-5.0030732002813494</v>
      </c>
    </row>
    <row r="26" spans="3:17" x14ac:dyDescent="0.3">
      <c r="F26" s="6">
        <f>E25-F25</f>
        <v>5.0030732002813494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ACE08-00BC-4A1D-A657-60A4DFCBE0C1}">
  <sheetPr codeName="Sheet2"/>
  <dimension ref="A1"/>
  <sheetViews>
    <sheetView workbookViewId="0">
      <selection activeCell="B3" sqref="B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Palacios García</dc:creator>
  <cp:lastModifiedBy>Alejandro Palacios García</cp:lastModifiedBy>
  <dcterms:created xsi:type="dcterms:W3CDTF">2021-12-03T23:41:31Z</dcterms:created>
  <dcterms:modified xsi:type="dcterms:W3CDTF">2021-12-10T14:32:46Z</dcterms:modified>
</cp:coreProperties>
</file>