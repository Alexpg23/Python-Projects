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e6fada5bac88e40/Documents/EDHEC/Third Term/Advanced Derivatives/"/>
    </mc:Choice>
  </mc:AlternateContent>
  <xr:revisionPtr revIDLastSave="113" documentId="8_{D5117E14-F3D2-49AB-812C-2280F95C6994}" xr6:coauthVersionLast="47" xr6:coauthVersionMax="47" xr10:uidLastSave="{9704456A-0BBB-4D6B-BC2A-606F6BE4BEDD}"/>
  <bookViews>
    <workbookView xWindow="0" yWindow="2412" windowWidth="23040" windowHeight="6984" activeTab="2" xr2:uid="{6CD41943-2A82-4AC3-963B-61F1E0154F1C}"/>
  </bookViews>
  <sheets>
    <sheet name="7.a" sheetId="1" r:id="rId1"/>
    <sheet name="7.b" sheetId="2" r:id="rId2"/>
    <sheet name="7.e" sheetId="3" r:id="rId3"/>
    <sheet name="7.f" sheetId="4" r:id="rId4"/>
  </sheets>
  <definedNames>
    <definedName name="solver_adj" localSheetId="0" hidden="1">'7.a'!$B$9:$B$13</definedName>
    <definedName name="solver_adj" localSheetId="1" hidden="1">'7.b'!$B$9:$B$13</definedName>
    <definedName name="solver_adj" localSheetId="2" hidden="1">'7.e'!$B$9:$B$13</definedName>
    <definedName name="solver_adj" localSheetId="3" hidden="1">'7.f'!$B$9:$B$13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0" hidden="1">2</definedName>
    <definedName name="solver_drv" localSheetId="1" hidden="1">2</definedName>
    <definedName name="solver_drv" localSheetId="2" hidden="1">2</definedName>
    <definedName name="solver_drv" localSheetId="3" hidden="1">2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0" hidden="1">'7.a'!$H$14</definedName>
    <definedName name="solver_opt" localSheetId="1" hidden="1">'7.b'!$H$14</definedName>
    <definedName name="solver_opt" localSheetId="2" hidden="1">'7.e'!$H$14</definedName>
    <definedName name="solver_opt" localSheetId="3" hidden="1">'7.f'!$H$14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0" hidden="1">2</definedName>
    <definedName name="solver_rbv" localSheetId="1" hidden="1">2</definedName>
    <definedName name="solver_rbv" localSheetId="2" hidden="1">2</definedName>
    <definedName name="solver_rbv" localSheetId="3" hidden="1">2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0" hidden="1">2</definedName>
    <definedName name="solver_scl" localSheetId="1" hidden="1">2</definedName>
    <definedName name="solver_scl" localSheetId="2" hidden="1">2</definedName>
    <definedName name="solver_scl" localSheetId="3" hidden="1">2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0" hidden="1">2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2" l="1"/>
  <c r="M9" i="2"/>
  <c r="D39" i="4"/>
  <c r="B39" i="4"/>
  <c r="D38" i="4"/>
  <c r="B38" i="4"/>
  <c r="D37" i="4"/>
  <c r="B37" i="4"/>
  <c r="D36" i="4"/>
  <c r="B36" i="4"/>
  <c r="D35" i="4"/>
  <c r="B35" i="4"/>
  <c r="D34" i="4"/>
  <c r="B34" i="4"/>
  <c r="D33" i="4"/>
  <c r="B33" i="4"/>
  <c r="D32" i="4"/>
  <c r="B32" i="4"/>
  <c r="D31" i="4"/>
  <c r="B31" i="4"/>
  <c r="D30" i="4"/>
  <c r="B30" i="4"/>
  <c r="D29" i="4"/>
  <c r="B29" i="4"/>
  <c r="D28" i="4"/>
  <c r="B28" i="4"/>
  <c r="D27" i="4"/>
  <c r="B27" i="4"/>
  <c r="D26" i="4"/>
  <c r="B26" i="4"/>
  <c r="D25" i="4"/>
  <c r="B25" i="4"/>
  <c r="D24" i="4"/>
  <c r="B24" i="4"/>
  <c r="D23" i="4"/>
  <c r="B23" i="4"/>
  <c r="D22" i="4"/>
  <c r="B22" i="4"/>
  <c r="D21" i="4"/>
  <c r="B21" i="4"/>
  <c r="D20" i="4"/>
  <c r="B20" i="4"/>
  <c r="D19" i="4"/>
  <c r="B19" i="4"/>
  <c r="A18" i="4"/>
  <c r="E18" i="4" s="1"/>
  <c r="F3" i="4"/>
  <c r="M8" i="3"/>
  <c r="M10" i="3" s="1"/>
  <c r="M9" i="3"/>
  <c r="D39" i="3"/>
  <c r="B39" i="3"/>
  <c r="D38" i="3"/>
  <c r="B38" i="3"/>
  <c r="E37" i="3"/>
  <c r="H37" i="3" s="1"/>
  <c r="D37" i="3"/>
  <c r="B37" i="3"/>
  <c r="D36" i="3"/>
  <c r="B36" i="3"/>
  <c r="D35" i="3"/>
  <c r="B35" i="3"/>
  <c r="D34" i="3"/>
  <c r="B34" i="3"/>
  <c r="E33" i="3"/>
  <c r="H33" i="3" s="1"/>
  <c r="D33" i="3"/>
  <c r="B33" i="3"/>
  <c r="D32" i="3"/>
  <c r="B32" i="3"/>
  <c r="D31" i="3"/>
  <c r="B31" i="3"/>
  <c r="D30" i="3"/>
  <c r="B30" i="3"/>
  <c r="E29" i="3"/>
  <c r="H29" i="3" s="1"/>
  <c r="D29" i="3"/>
  <c r="B29" i="3"/>
  <c r="D28" i="3"/>
  <c r="B28" i="3"/>
  <c r="D27" i="3"/>
  <c r="B27" i="3"/>
  <c r="D26" i="3"/>
  <c r="B26" i="3"/>
  <c r="E25" i="3"/>
  <c r="H25" i="3" s="1"/>
  <c r="D25" i="3"/>
  <c r="B25" i="3"/>
  <c r="D24" i="3"/>
  <c r="B24" i="3"/>
  <c r="D23" i="3"/>
  <c r="B23" i="3"/>
  <c r="D22" i="3"/>
  <c r="B22" i="3"/>
  <c r="E21" i="3"/>
  <c r="H21" i="3" s="1"/>
  <c r="D21" i="3"/>
  <c r="B21" i="3"/>
  <c r="D20" i="3"/>
  <c r="B20" i="3"/>
  <c r="D19" i="3"/>
  <c r="B19" i="3"/>
  <c r="A18" i="3"/>
  <c r="E18" i="3" s="1"/>
  <c r="F3" i="3"/>
  <c r="F3" i="2"/>
  <c r="D39" i="2"/>
  <c r="B39" i="2"/>
  <c r="D38" i="2"/>
  <c r="B38" i="2"/>
  <c r="D37" i="2"/>
  <c r="B37" i="2"/>
  <c r="D36" i="2"/>
  <c r="B36" i="2"/>
  <c r="D35" i="2"/>
  <c r="B35" i="2"/>
  <c r="D34" i="2"/>
  <c r="B34" i="2"/>
  <c r="D33" i="2"/>
  <c r="B33" i="2"/>
  <c r="D32" i="2"/>
  <c r="B32" i="2"/>
  <c r="D31" i="2"/>
  <c r="B31" i="2"/>
  <c r="D30" i="2"/>
  <c r="B30" i="2"/>
  <c r="D29" i="2"/>
  <c r="B29" i="2"/>
  <c r="D28" i="2"/>
  <c r="B28" i="2"/>
  <c r="D27" i="2"/>
  <c r="B27" i="2"/>
  <c r="D26" i="2"/>
  <c r="B26" i="2"/>
  <c r="D25" i="2"/>
  <c r="B25" i="2"/>
  <c r="D24" i="2"/>
  <c r="B24" i="2"/>
  <c r="D23" i="2"/>
  <c r="B23" i="2"/>
  <c r="D22" i="2"/>
  <c r="B22" i="2"/>
  <c r="D21" i="2"/>
  <c r="B21" i="2"/>
  <c r="D20" i="2"/>
  <c r="B20" i="2"/>
  <c r="D19" i="2"/>
  <c r="A18" i="2"/>
  <c r="E38" i="2" s="1"/>
  <c r="H18" i="4" l="1"/>
  <c r="F18" i="4"/>
  <c r="F22" i="4"/>
  <c r="E22" i="4"/>
  <c r="H22" i="4" s="1"/>
  <c r="E26" i="4"/>
  <c r="H26" i="4" s="1"/>
  <c r="E38" i="4"/>
  <c r="H38" i="4" s="1"/>
  <c r="E21" i="4"/>
  <c r="H21" i="4" s="1"/>
  <c r="E25" i="4"/>
  <c r="H25" i="4" s="1"/>
  <c r="E29" i="4"/>
  <c r="H29" i="4" s="1"/>
  <c r="E33" i="4"/>
  <c r="H33" i="4" s="1"/>
  <c r="E37" i="4"/>
  <c r="H37" i="4" s="1"/>
  <c r="E30" i="4"/>
  <c r="H30" i="4" s="1"/>
  <c r="E24" i="4"/>
  <c r="H24" i="4" s="1"/>
  <c r="E20" i="4"/>
  <c r="H20" i="4" s="1"/>
  <c r="E28" i="4"/>
  <c r="H28" i="4" s="1"/>
  <c r="E32" i="4"/>
  <c r="H32" i="4" s="1"/>
  <c r="E36" i="4"/>
  <c r="H36" i="4" s="1"/>
  <c r="E19" i="4"/>
  <c r="E23" i="4"/>
  <c r="E27" i="4"/>
  <c r="H27" i="4" s="1"/>
  <c r="E31" i="4"/>
  <c r="H31" i="4" s="1"/>
  <c r="E35" i="4"/>
  <c r="H35" i="4" s="1"/>
  <c r="E39" i="4"/>
  <c r="H39" i="4" s="1"/>
  <c r="E34" i="4"/>
  <c r="H34" i="4" s="1"/>
  <c r="F18" i="3"/>
  <c r="H18" i="3"/>
  <c r="F22" i="3"/>
  <c r="F38" i="3"/>
  <c r="F21" i="3"/>
  <c r="F29" i="3"/>
  <c r="F33" i="3"/>
  <c r="F37" i="3"/>
  <c r="G38" i="3" s="1"/>
  <c r="E20" i="3"/>
  <c r="H20" i="3" s="1"/>
  <c r="E24" i="3"/>
  <c r="H24" i="3" s="1"/>
  <c r="E28" i="3"/>
  <c r="H28" i="3" s="1"/>
  <c r="E32" i="3"/>
  <c r="H32" i="3" s="1"/>
  <c r="E36" i="3"/>
  <c r="H36" i="3" s="1"/>
  <c r="F28" i="3"/>
  <c r="G29" i="3" s="1"/>
  <c r="F32" i="3"/>
  <c r="G33" i="3" s="1"/>
  <c r="F36" i="3"/>
  <c r="E19" i="3"/>
  <c r="E23" i="3"/>
  <c r="F25" i="3" s="1"/>
  <c r="G26" i="3" s="1"/>
  <c r="E27" i="3"/>
  <c r="H27" i="3" s="1"/>
  <c r="E31" i="3"/>
  <c r="H31" i="3" s="1"/>
  <c r="E35" i="3"/>
  <c r="H35" i="3" s="1"/>
  <c r="E39" i="3"/>
  <c r="H39" i="3" s="1"/>
  <c r="F31" i="3"/>
  <c r="G32" i="3" s="1"/>
  <c r="F35" i="3"/>
  <c r="F39" i="3"/>
  <c r="E22" i="3"/>
  <c r="H22" i="3" s="1"/>
  <c r="E26" i="3"/>
  <c r="H26" i="3" s="1"/>
  <c r="E30" i="3"/>
  <c r="H30" i="3" s="1"/>
  <c r="E34" i="3"/>
  <c r="H34" i="3" s="1"/>
  <c r="E38" i="3"/>
  <c r="H38" i="3" s="1"/>
  <c r="F26" i="3"/>
  <c r="F30" i="3"/>
  <c r="G31" i="3" s="1"/>
  <c r="F34" i="3"/>
  <c r="G35" i="3" s="1"/>
  <c r="H38" i="2"/>
  <c r="E22" i="2"/>
  <c r="H22" i="2" s="1"/>
  <c r="E18" i="2"/>
  <c r="E21" i="2"/>
  <c r="H21" i="2" s="1"/>
  <c r="E25" i="2"/>
  <c r="H25" i="2" s="1"/>
  <c r="E33" i="2"/>
  <c r="H33" i="2" s="1"/>
  <c r="E20" i="2"/>
  <c r="E24" i="2"/>
  <c r="H24" i="2" s="1"/>
  <c r="E28" i="2"/>
  <c r="H28" i="2" s="1"/>
  <c r="E32" i="2"/>
  <c r="H32" i="2" s="1"/>
  <c r="E36" i="2"/>
  <c r="H36" i="2" s="1"/>
  <c r="E29" i="2"/>
  <c r="H29" i="2" s="1"/>
  <c r="E37" i="2"/>
  <c r="H37" i="2" s="1"/>
  <c r="E19" i="2"/>
  <c r="E23" i="2"/>
  <c r="E27" i="2"/>
  <c r="H27" i="2" s="1"/>
  <c r="E31" i="2"/>
  <c r="H31" i="2" s="1"/>
  <c r="E35" i="2"/>
  <c r="H35" i="2" s="1"/>
  <c r="E39" i="2"/>
  <c r="H39" i="2" s="1"/>
  <c r="E26" i="2"/>
  <c r="H26" i="2" s="1"/>
  <c r="E30" i="2"/>
  <c r="H30" i="2" s="1"/>
  <c r="E34" i="2"/>
  <c r="H34" i="2" s="1"/>
  <c r="F38" i="4" l="1"/>
  <c r="F34" i="4"/>
  <c r="F30" i="4"/>
  <c r="F26" i="4"/>
  <c r="H23" i="4"/>
  <c r="F39" i="4"/>
  <c r="F35" i="4"/>
  <c r="F27" i="4"/>
  <c r="F23" i="4"/>
  <c r="F31" i="4"/>
  <c r="F36" i="4"/>
  <c r="F32" i="4"/>
  <c r="F37" i="4"/>
  <c r="F28" i="4"/>
  <c r="F33" i="4"/>
  <c r="F24" i="4"/>
  <c r="F29" i="4"/>
  <c r="F20" i="4"/>
  <c r="H19" i="4"/>
  <c r="F19" i="4"/>
  <c r="G19" i="4" s="1"/>
  <c r="F25" i="4"/>
  <c r="F21" i="4"/>
  <c r="G22" i="4" s="1"/>
  <c r="G36" i="3"/>
  <c r="G30" i="3"/>
  <c r="H19" i="3"/>
  <c r="F19" i="3"/>
  <c r="G34" i="3"/>
  <c r="F24" i="3"/>
  <c r="G25" i="3" s="1"/>
  <c r="G22" i="3"/>
  <c r="G37" i="3"/>
  <c r="H23" i="3"/>
  <c r="F27" i="3"/>
  <c r="G28" i="3" s="1"/>
  <c r="F23" i="3"/>
  <c r="F20" i="3"/>
  <c r="G21" i="3" s="1"/>
  <c r="G39" i="3"/>
  <c r="G23" i="3"/>
  <c r="F21" i="2"/>
  <c r="F33" i="2"/>
  <c r="F24" i="2"/>
  <c r="F22" i="2"/>
  <c r="F29" i="2"/>
  <c r="F36" i="2"/>
  <c r="F25" i="2"/>
  <c r="F23" i="2"/>
  <c r="F39" i="2"/>
  <c r="F35" i="2"/>
  <c r="F31" i="2"/>
  <c r="F30" i="2"/>
  <c r="F38" i="2"/>
  <c r="F34" i="2"/>
  <c r="F26" i="2"/>
  <c r="H23" i="2"/>
  <c r="F27" i="2"/>
  <c r="H19" i="2"/>
  <c r="F19" i="2"/>
  <c r="F32" i="2"/>
  <c r="F20" i="2"/>
  <c r="H20" i="2"/>
  <c r="H18" i="2"/>
  <c r="F18" i="2"/>
  <c r="F28" i="2"/>
  <c r="F37" i="2"/>
  <c r="G21" i="4" l="1"/>
  <c r="G37" i="4"/>
  <c r="G31" i="4"/>
  <c r="G35" i="4"/>
  <c r="G39" i="4"/>
  <c r="G33" i="4"/>
  <c r="G27" i="4"/>
  <c r="G30" i="4"/>
  <c r="G25" i="4"/>
  <c r="G24" i="4"/>
  <c r="G34" i="4"/>
  <c r="G28" i="4"/>
  <c r="G32" i="4"/>
  <c r="G26" i="4"/>
  <c r="G29" i="4"/>
  <c r="G36" i="4"/>
  <c r="G23" i="4"/>
  <c r="G20" i="4"/>
  <c r="F11" i="4"/>
  <c r="M9" i="4"/>
  <c r="H3" i="4" s="1"/>
  <c r="F10" i="4"/>
  <c r="F12" i="4"/>
  <c r="F9" i="4"/>
  <c r="F13" i="4"/>
  <c r="G38" i="4"/>
  <c r="G24" i="3"/>
  <c r="F13" i="3"/>
  <c r="F10" i="3"/>
  <c r="F9" i="3"/>
  <c r="G20" i="3"/>
  <c r="F11" i="3"/>
  <c r="H3" i="3"/>
  <c r="F12" i="3"/>
  <c r="G27" i="3"/>
  <c r="G19" i="3"/>
  <c r="H3" i="2"/>
  <c r="G31" i="2"/>
  <c r="G22" i="2"/>
  <c r="G33" i="2"/>
  <c r="G25" i="2"/>
  <c r="G21" i="2"/>
  <c r="G34" i="2"/>
  <c r="G24" i="2"/>
  <c r="G28" i="2"/>
  <c r="G37" i="2"/>
  <c r="G39" i="2"/>
  <c r="G30" i="2"/>
  <c r="G38" i="2"/>
  <c r="G32" i="2"/>
  <c r="G29" i="2"/>
  <c r="G36" i="2"/>
  <c r="F12" i="2"/>
  <c r="G20" i="2"/>
  <c r="F9" i="2"/>
  <c r="F10" i="2"/>
  <c r="F11" i="2"/>
  <c r="F13" i="2"/>
  <c r="G19" i="2"/>
  <c r="G27" i="2"/>
  <c r="G23" i="2"/>
  <c r="G35" i="2"/>
  <c r="G26" i="2"/>
  <c r="E11" i="4" l="1"/>
  <c r="D11" i="4" s="1"/>
  <c r="G11" i="4" s="1"/>
  <c r="H11" i="4" s="1"/>
  <c r="M8" i="4"/>
  <c r="H2" i="4" s="1"/>
  <c r="H4" i="4" s="1"/>
  <c r="H5" i="4" s="1"/>
  <c r="N17" i="4" s="1"/>
  <c r="E13" i="4"/>
  <c r="D13" i="4" s="1"/>
  <c r="G13" i="4" s="1"/>
  <c r="H13" i="4" s="1"/>
  <c r="E10" i="4"/>
  <c r="D10" i="4" s="1"/>
  <c r="G10" i="4" s="1"/>
  <c r="H10" i="4" s="1"/>
  <c r="E9" i="4"/>
  <c r="D9" i="4" s="1"/>
  <c r="G9" i="4" s="1"/>
  <c r="H9" i="4" s="1"/>
  <c r="E12" i="4"/>
  <c r="D12" i="4" s="1"/>
  <c r="G12" i="4" s="1"/>
  <c r="H12" i="4" s="1"/>
  <c r="E9" i="3"/>
  <c r="D9" i="3" s="1"/>
  <c r="G9" i="3" s="1"/>
  <c r="H9" i="3" s="1"/>
  <c r="E13" i="3"/>
  <c r="D13" i="3" s="1"/>
  <c r="G13" i="3" s="1"/>
  <c r="H13" i="3" s="1"/>
  <c r="E10" i="3"/>
  <c r="D10" i="3" s="1"/>
  <c r="G10" i="3" s="1"/>
  <c r="H10" i="3" s="1"/>
  <c r="E12" i="3"/>
  <c r="D12" i="3" s="1"/>
  <c r="G12" i="3" s="1"/>
  <c r="H12" i="3" s="1"/>
  <c r="E11" i="3"/>
  <c r="D11" i="3" s="1"/>
  <c r="G11" i="3" s="1"/>
  <c r="H11" i="3" s="1"/>
  <c r="M8" i="2"/>
  <c r="H2" i="2" s="1"/>
  <c r="E12" i="2"/>
  <c r="D12" i="2" s="1"/>
  <c r="G12" i="2" s="1"/>
  <c r="H12" i="2" s="1"/>
  <c r="E10" i="2"/>
  <c r="D10" i="2" s="1"/>
  <c r="G10" i="2" s="1"/>
  <c r="H10" i="2" s="1"/>
  <c r="E9" i="2"/>
  <c r="D9" i="2" s="1"/>
  <c r="G9" i="2" s="1"/>
  <c r="H9" i="2" s="1"/>
  <c r="E11" i="2"/>
  <c r="D11" i="2" s="1"/>
  <c r="G11" i="2" s="1"/>
  <c r="H11" i="2" s="1"/>
  <c r="E13" i="2"/>
  <c r="M10" i="4" l="1"/>
  <c r="N15" i="4"/>
  <c r="N14" i="4"/>
  <c r="N13" i="4"/>
  <c r="N16" i="4"/>
  <c r="H14" i="4"/>
  <c r="H14" i="3"/>
  <c r="H2" i="3"/>
  <c r="H4" i="3" s="1"/>
  <c r="H5" i="3" s="1"/>
  <c r="M10" i="2"/>
  <c r="D13" i="2"/>
  <c r="G13" i="2" s="1"/>
  <c r="H13" i="2" s="1"/>
  <c r="H14" i="2" s="1"/>
  <c r="H4" i="2"/>
  <c r="H5" i="2" s="1"/>
  <c r="O16" i="3" l="1"/>
  <c r="O15" i="3"/>
  <c r="O14" i="3"/>
  <c r="O13" i="3"/>
  <c r="O13" i="2"/>
  <c r="O15" i="2"/>
  <c r="O16" i="2"/>
  <c r="O14" i="2"/>
  <c r="H21" i="1" l="1"/>
  <c r="H28" i="1"/>
  <c r="H29" i="1"/>
  <c r="D37" i="1"/>
  <c r="D38" i="1"/>
  <c r="D39" i="1"/>
  <c r="D36" i="1"/>
  <c r="D33" i="1"/>
  <c r="D34" i="1"/>
  <c r="D35" i="1"/>
  <c r="D32" i="1"/>
  <c r="D29" i="1"/>
  <c r="D30" i="1"/>
  <c r="D31" i="1"/>
  <c r="D28" i="1"/>
  <c r="D25" i="1"/>
  <c r="D26" i="1"/>
  <c r="D27" i="1"/>
  <c r="D24" i="1"/>
  <c r="D20" i="1"/>
  <c r="D21" i="1"/>
  <c r="F21" i="1" s="1"/>
  <c r="D22" i="1"/>
  <c r="F22" i="1" s="1"/>
  <c r="D23" i="1"/>
  <c r="D19" i="1"/>
  <c r="A18" i="1"/>
  <c r="E22" i="1" s="1"/>
  <c r="H22" i="1" s="1"/>
  <c r="E21" i="1"/>
  <c r="E28" i="1"/>
  <c r="E29" i="1"/>
  <c r="E30" i="1"/>
  <c r="H30" i="1" s="1"/>
  <c r="E36" i="1"/>
  <c r="H36" i="1" s="1"/>
  <c r="E38" i="1"/>
  <c r="H38" i="1" s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19" i="1"/>
  <c r="B20" i="1"/>
  <c r="F20" i="1" l="1"/>
  <c r="G21" i="1" s="1"/>
  <c r="E26" i="1"/>
  <c r="H26" i="1" s="1"/>
  <c r="E37" i="1"/>
  <c r="H37" i="1" s="1"/>
  <c r="F36" i="1"/>
  <c r="F23" i="1"/>
  <c r="G23" i="1" s="1"/>
  <c r="G22" i="1"/>
  <c r="F29" i="1"/>
  <c r="F28" i="1"/>
  <c r="F37" i="1"/>
  <c r="E34" i="1"/>
  <c r="H34" i="1" s="1"/>
  <c r="E18" i="1"/>
  <c r="H18" i="1" s="1"/>
  <c r="E33" i="1"/>
  <c r="H33" i="1" s="1"/>
  <c r="E25" i="1"/>
  <c r="H25" i="1" s="1"/>
  <c r="E20" i="1"/>
  <c r="H20" i="1" s="1"/>
  <c r="E35" i="1"/>
  <c r="H35" i="1" s="1"/>
  <c r="E27" i="1"/>
  <c r="H27" i="1" s="1"/>
  <c r="E19" i="1"/>
  <c r="H19" i="1" s="1"/>
  <c r="E32" i="1"/>
  <c r="H32" i="1" s="1"/>
  <c r="E24" i="1"/>
  <c r="H24" i="1" s="1"/>
  <c r="E39" i="1"/>
  <c r="H39" i="1" s="1"/>
  <c r="E31" i="1"/>
  <c r="H31" i="1" s="1"/>
  <c r="E23" i="1"/>
  <c r="H23" i="1" s="1"/>
  <c r="F26" i="1" l="1"/>
  <c r="F11" i="1" s="1"/>
  <c r="F38" i="1"/>
  <c r="G39" i="1" s="1"/>
  <c r="F33" i="1"/>
  <c r="G34" i="1" s="1"/>
  <c r="F35" i="1"/>
  <c r="G36" i="1" s="1"/>
  <c r="F30" i="1"/>
  <c r="F25" i="1"/>
  <c r="F32" i="1"/>
  <c r="G33" i="1" s="1"/>
  <c r="F31" i="1"/>
  <c r="G32" i="1" s="1"/>
  <c r="F34" i="1"/>
  <c r="F18" i="1"/>
  <c r="G19" i="1" s="1"/>
  <c r="F27" i="1"/>
  <c r="F39" i="1"/>
  <c r="F24" i="1"/>
  <c r="F19" i="1"/>
  <c r="G20" i="1" s="1"/>
  <c r="G31" i="1"/>
  <c r="G25" i="1"/>
  <c r="G28" i="1"/>
  <c r="G37" i="1"/>
  <c r="G30" i="1"/>
  <c r="G24" i="1"/>
  <c r="E9" i="1"/>
  <c r="F9" i="1"/>
  <c r="G26" i="1"/>
  <c r="G29" i="1"/>
  <c r="F10" i="1"/>
  <c r="F12" i="1" l="1"/>
  <c r="G35" i="1"/>
  <c r="F13" i="1"/>
  <c r="H3" i="1" s="1"/>
  <c r="G27" i="1"/>
  <c r="E12" i="1" s="1"/>
  <c r="G38" i="1"/>
  <c r="D9" i="1"/>
  <c r="G9" i="1" s="1"/>
  <c r="H9" i="1" s="1"/>
  <c r="D12" i="1" l="1"/>
  <c r="G12" i="1" s="1"/>
  <c r="H12" i="1" s="1"/>
  <c r="E13" i="1"/>
  <c r="H2" i="1" s="1"/>
  <c r="H4" i="1" s="1"/>
  <c r="H5" i="1" s="1"/>
  <c r="E11" i="1"/>
  <c r="D11" i="1" s="1"/>
  <c r="G11" i="1" s="1"/>
  <c r="H11" i="1" s="1"/>
  <c r="E10" i="1"/>
  <c r="D10" i="1" s="1"/>
  <c r="G10" i="1" s="1"/>
  <c r="H10" i="1" s="1"/>
  <c r="D13" i="1"/>
  <c r="G13" i="1" s="1"/>
  <c r="H13" i="1" s="1"/>
  <c r="H14" i="1" l="1"/>
</calcChain>
</file>

<file path=xl/sharedStrings.xml><?xml version="1.0" encoding="utf-8"?>
<sst xmlns="http://schemas.openxmlformats.org/spreadsheetml/2006/main" count="192" uniqueCount="47">
  <si>
    <t>Value Date</t>
  </si>
  <si>
    <t>Market inputs</t>
  </si>
  <si>
    <t>LIBOR Zero Rate</t>
  </si>
  <si>
    <t>Recovery Rate</t>
  </si>
  <si>
    <t>Term</t>
  </si>
  <si>
    <t>1Y</t>
  </si>
  <si>
    <t>2Y</t>
  </si>
  <si>
    <t>3Y</t>
  </si>
  <si>
    <t>4Y</t>
  </si>
  <si>
    <t>5Y</t>
  </si>
  <si>
    <t>Hazzrd Rate</t>
  </si>
  <si>
    <t>MKT</t>
  </si>
  <si>
    <t>Protection PV</t>
  </si>
  <si>
    <t>RPV01</t>
  </si>
  <si>
    <t>Diff=Market-Moder</t>
  </si>
  <si>
    <t>DIF^2</t>
  </si>
  <si>
    <t>Model=Protection/PV01</t>
  </si>
  <si>
    <t>PCD</t>
  </si>
  <si>
    <t>Payment dates also</t>
  </si>
  <si>
    <t>used for protection leg</t>
  </si>
  <si>
    <t>Yearfrac Function</t>
  </si>
  <si>
    <t>ACT 360</t>
  </si>
  <si>
    <t>Piecewise flat</t>
  </si>
  <si>
    <t>Hazard Rate Curve</t>
  </si>
  <si>
    <t>Time in years</t>
  </si>
  <si>
    <t>Days/365.242</t>
  </si>
  <si>
    <t>Q(t)</t>
  </si>
  <si>
    <t>-dQ(t)</t>
  </si>
  <si>
    <t>Z(0,t)</t>
  </si>
  <si>
    <t>Protention Leg PV</t>
  </si>
  <si>
    <t>Risky PV01</t>
  </si>
  <si>
    <t>Market CDS Spread</t>
  </si>
  <si>
    <t>Contract MTM</t>
  </si>
  <si>
    <t>Long/Short Protection</t>
  </si>
  <si>
    <t>L</t>
  </si>
  <si>
    <t>Maturity Date</t>
  </si>
  <si>
    <t>Contractual Spread</t>
  </si>
  <si>
    <t>Notional</t>
  </si>
  <si>
    <t>MINIMISE-&gt;</t>
  </si>
  <si>
    <t>FITTING</t>
  </si>
  <si>
    <t>CONTRACT VALUATION</t>
  </si>
  <si>
    <t>3.5 CDS Market Spread</t>
  </si>
  <si>
    <t>Change of 1bp on the 1Y spread</t>
  </si>
  <si>
    <t>Change of 1bp on the 2Y spread</t>
  </si>
  <si>
    <t>Change of 1bp on the 3Y spread</t>
  </si>
  <si>
    <t>Change of 1bp on the 4Y spread</t>
  </si>
  <si>
    <t>Change of 1bp on the 5Y 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</si>
</sst>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409]dd\-mmm\-yy;@"/>
    <numFmt numFmtId="165" formatCode="0.000"/>
    <numFmt numFmtId="166" formatCode="0.00000"/>
    <numFmt numFmtId="167" formatCode="0.000000"/>
    <numFmt numFmtId="168" formatCode="0.00000000"/>
    <numFmt numFmtId="169" formatCode="0.000000000"/>
    <numFmt numFmtId="170" formatCode="0.000000%"/>
    <numFmt numFmtId="171" formatCode="0.00000000%"/>
    <numFmt numFmtId="172" formatCode="[$-409]d\-mmm\-yy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6"/>
      <color rgb="FF0000FF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3" xfId="0" applyFont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3" fontId="2" fillId="10" borderId="0" xfId="0" applyNumberFormat="1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2" borderId="0" xfId="0" quotePrefix="1" applyFon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0" fontId="0" fillId="0" borderId="8" xfId="0" applyBorder="1" applyAlignment="1">
      <alignment horizontal="center"/>
    </xf>
    <xf numFmtId="169" fontId="0" fillId="3" borderId="0" xfId="0" applyNumberFormat="1" applyFill="1" applyBorder="1" applyAlignment="1">
      <alignment horizontal="center"/>
    </xf>
    <xf numFmtId="10" fontId="2" fillId="4" borderId="0" xfId="0" applyNumberFormat="1" applyFont="1" applyFill="1" applyBorder="1" applyAlignment="1">
      <alignment horizontal="center"/>
    </xf>
    <xf numFmtId="10" fontId="2" fillId="5" borderId="0" xfId="0" applyNumberFormat="1" applyFont="1" applyFill="1" applyBorder="1" applyAlignment="1">
      <alignment horizontal="center"/>
    </xf>
    <xf numFmtId="10" fontId="2" fillId="6" borderId="0" xfId="0" applyNumberFormat="1" applyFont="1" applyFill="1" applyBorder="1" applyAlignment="1">
      <alignment horizontal="center"/>
    </xf>
    <xf numFmtId="10" fontId="2" fillId="7" borderId="0" xfId="0" applyNumberFormat="1" applyFont="1" applyFill="1" applyBorder="1" applyAlignment="1">
      <alignment horizontal="center"/>
    </xf>
    <xf numFmtId="10" fontId="2" fillId="8" borderId="0" xfId="0" applyNumberFormat="1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166" fontId="5" fillId="2" borderId="0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71" fontId="6" fillId="2" borderId="0" xfId="0" applyNumberFormat="1" applyFont="1" applyFill="1" applyBorder="1" applyAlignment="1">
      <alignment horizontal="center"/>
    </xf>
    <xf numFmtId="167" fontId="2" fillId="3" borderId="0" xfId="0" applyNumberFormat="1" applyFont="1" applyFill="1" applyBorder="1" applyAlignment="1">
      <alignment horizontal="center"/>
    </xf>
    <xf numFmtId="170" fontId="2" fillId="3" borderId="0" xfId="1" applyNumberFormat="1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168" fontId="6" fillId="2" borderId="0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72" fontId="2" fillId="9" borderId="0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164" fontId="2" fillId="9" borderId="0" xfId="0" applyNumberFormat="1" applyFont="1" applyFill="1" applyBorder="1" applyAlignment="1">
      <alignment horizontal="center"/>
    </xf>
    <xf numFmtId="10" fontId="2" fillId="9" borderId="0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9" borderId="0" xfId="0" applyNumberFormat="1" applyFont="1" applyFill="1" applyBorder="1" applyAlignment="1">
      <alignment horizontal="center"/>
    </xf>
    <xf numFmtId="4" fontId="2" fillId="9" borderId="0" xfId="0" applyNumberFormat="1" applyFont="1" applyFill="1" applyBorder="1" applyAlignment="1">
      <alignment horizontal="center"/>
    </xf>
    <xf numFmtId="172" fontId="4" fillId="0" borderId="3" xfId="0" applyNumberFormat="1" applyFont="1" applyBorder="1" applyAlignment="1">
      <alignment horizontal="center"/>
    </xf>
    <xf numFmtId="165" fontId="0" fillId="9" borderId="0" xfId="0" applyNumberFormat="1" applyFill="1" applyBorder="1" applyAlignment="1">
      <alignment horizontal="center"/>
    </xf>
    <xf numFmtId="10" fontId="2" fillId="3" borderId="0" xfId="1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/>
    </xf>
    <xf numFmtId="0" fontId="4" fillId="11" borderId="7" xfId="0" applyFont="1" applyFill="1" applyBorder="1" applyAlignment="1">
      <alignment horizontal="center"/>
    </xf>
    <xf numFmtId="0" fontId="4" fillId="11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53340</xdr:rowOff>
        </xdr:from>
        <xdr:to>
          <xdr:col>3</xdr:col>
          <xdr:colOff>1143000</xdr:colOff>
          <xdr:row>4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53340</xdr:rowOff>
        </xdr:from>
        <xdr:to>
          <xdr:col>3</xdr:col>
          <xdr:colOff>1143000</xdr:colOff>
          <xdr:row>4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53340</xdr:rowOff>
        </xdr:from>
        <xdr:to>
          <xdr:col>3</xdr:col>
          <xdr:colOff>1143000</xdr:colOff>
          <xdr:row>4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53340</xdr:rowOff>
        </xdr:from>
        <xdr:to>
          <xdr:col>3</xdr:col>
          <xdr:colOff>1143000</xdr:colOff>
          <xdr:row>4</xdr:row>
          <xdr:rowOff>106680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EEDE5-BD8F-4DB2-877A-DE38904FCBE4}">
  <sheetPr codeName="Sheet1"/>
  <dimension ref="A1:I40"/>
  <sheetViews>
    <sheetView zoomScale="64" zoomScaleNormal="64" workbookViewId="0">
      <selection activeCell="B15" sqref="B15"/>
    </sheetView>
  </sheetViews>
  <sheetFormatPr defaultRowHeight="14.4" x14ac:dyDescent="0.3"/>
  <cols>
    <col min="1" max="1" width="21.109375" style="2" bestFit="1" customWidth="1"/>
    <col min="2" max="2" width="20.21875" style="2" customWidth="1"/>
    <col min="3" max="3" width="10.5546875" style="2" customWidth="1"/>
    <col min="4" max="4" width="23.5546875" style="2" bestFit="1" customWidth="1"/>
    <col min="5" max="5" width="20.21875" style="2" customWidth="1"/>
    <col min="6" max="6" width="17.21875" style="2" customWidth="1"/>
    <col min="7" max="7" width="20.21875" style="2" customWidth="1"/>
    <col min="8" max="8" width="18.44140625" style="2" customWidth="1"/>
    <col min="9" max="16384" width="8.88671875" style="2"/>
  </cols>
  <sheetData>
    <row r="1" spans="1:9" x14ac:dyDescent="0.3">
      <c r="A1" s="32" t="s">
        <v>0</v>
      </c>
      <c r="B1" s="33">
        <v>40577</v>
      </c>
      <c r="C1" s="34"/>
      <c r="D1" s="34"/>
      <c r="E1" s="6" t="s">
        <v>40</v>
      </c>
      <c r="F1" s="35"/>
      <c r="G1" s="35"/>
      <c r="H1" s="35"/>
    </row>
    <row r="2" spans="1:9" x14ac:dyDescent="0.3">
      <c r="A2" s="34"/>
      <c r="B2" s="34"/>
      <c r="C2" s="34"/>
      <c r="D2" s="36"/>
      <c r="E2" s="24" t="s">
        <v>33</v>
      </c>
      <c r="F2" s="37" t="s">
        <v>34</v>
      </c>
      <c r="G2" s="24" t="s">
        <v>29</v>
      </c>
      <c r="H2" s="29">
        <f>E13</f>
        <v>3.3467416806406448E-2</v>
      </c>
      <c r="I2" s="5"/>
    </row>
    <row r="3" spans="1:9" x14ac:dyDescent="0.3">
      <c r="A3" s="6" t="s">
        <v>1</v>
      </c>
      <c r="B3" s="35"/>
      <c r="C3" s="34"/>
      <c r="D3" s="36"/>
      <c r="E3" s="24" t="s">
        <v>35</v>
      </c>
      <c r="F3" s="38">
        <v>42449</v>
      </c>
      <c r="G3" s="24" t="s">
        <v>30</v>
      </c>
      <c r="H3" s="28">
        <f>F13</f>
        <v>4.7810595437721668</v>
      </c>
      <c r="I3" s="5"/>
    </row>
    <row r="4" spans="1:9" x14ac:dyDescent="0.3">
      <c r="A4" s="24" t="s">
        <v>2</v>
      </c>
      <c r="B4" s="39">
        <v>0.03</v>
      </c>
      <c r="C4" s="40"/>
      <c r="D4" s="36"/>
      <c r="E4" s="24" t="s">
        <v>36</v>
      </c>
      <c r="F4" s="37">
        <v>100</v>
      </c>
      <c r="G4" s="24" t="s">
        <v>31</v>
      </c>
      <c r="H4" s="28">
        <f>H2*10000/H3</f>
        <v>70.000000000002672</v>
      </c>
      <c r="I4" s="5"/>
    </row>
    <row r="5" spans="1:9" x14ac:dyDescent="0.3">
      <c r="A5" s="24" t="s">
        <v>3</v>
      </c>
      <c r="B5" s="41">
        <v>0.4</v>
      </c>
      <c r="C5" s="40"/>
      <c r="D5" s="36"/>
      <c r="E5" s="24" t="s">
        <v>37</v>
      </c>
      <c r="F5" s="42">
        <v>10000000</v>
      </c>
      <c r="G5" s="24" t="s">
        <v>32</v>
      </c>
      <c r="H5" s="8">
        <f>IF(F2="L",1,-1)*((H4-F4)*F5/10000)*H3</f>
        <v>-143431.78631315223</v>
      </c>
      <c r="I5" s="5"/>
    </row>
    <row r="6" spans="1:9" x14ac:dyDescent="0.3">
      <c r="A6" s="9"/>
      <c r="B6" s="10"/>
      <c r="E6" s="10"/>
      <c r="F6" s="10"/>
      <c r="G6" s="10"/>
      <c r="H6" s="10"/>
    </row>
    <row r="7" spans="1:9" x14ac:dyDescent="0.3">
      <c r="A7" s="6" t="s">
        <v>39</v>
      </c>
      <c r="B7" s="3"/>
      <c r="C7" s="3"/>
      <c r="D7" s="3"/>
      <c r="E7" s="3"/>
      <c r="F7" s="3"/>
      <c r="G7" s="3"/>
      <c r="H7" s="3"/>
    </row>
    <row r="8" spans="1:9" x14ac:dyDescent="0.3">
      <c r="A8" s="1" t="s">
        <v>4</v>
      </c>
      <c r="B8" s="1" t="s">
        <v>10</v>
      </c>
      <c r="C8" s="1" t="s">
        <v>11</v>
      </c>
      <c r="D8" s="1" t="s">
        <v>16</v>
      </c>
      <c r="E8" s="1" t="s">
        <v>12</v>
      </c>
      <c r="F8" s="1" t="s">
        <v>13</v>
      </c>
      <c r="G8" s="1" t="s">
        <v>14</v>
      </c>
      <c r="H8" s="1" t="s">
        <v>15</v>
      </c>
      <c r="I8" s="5"/>
    </row>
    <row r="9" spans="1:9" x14ac:dyDescent="0.3">
      <c r="A9" s="26" t="s">
        <v>5</v>
      </c>
      <c r="B9" s="27">
        <v>1.1295293680962198E-2</v>
      </c>
      <c r="C9" s="4">
        <v>60</v>
      </c>
      <c r="D9" s="28">
        <f>E9*10000/F9</f>
        <v>59.999999999990308</v>
      </c>
      <c r="E9" s="29">
        <f>(1-$B$5)*SUMPRODUCT($G$19:G23,$H$19:H23)</f>
        <v>7.4077091640968934E-3</v>
      </c>
      <c r="F9" s="28">
        <f>SUMPRODUCT($B$19:B23,$F$19:F23,$H$19:H23)</f>
        <v>1.2346181940163483</v>
      </c>
      <c r="G9" s="28">
        <f>C9-D9</f>
        <v>9.6918029157677665E-12</v>
      </c>
      <c r="H9" s="28">
        <f>G9^2</f>
        <v>9.3931043758084581E-23</v>
      </c>
      <c r="I9" s="5"/>
    </row>
    <row r="10" spans="1:9" x14ac:dyDescent="0.3">
      <c r="A10" s="26" t="s">
        <v>6</v>
      </c>
      <c r="B10" s="27">
        <v>1.2079850319417704E-2</v>
      </c>
      <c r="C10" s="4">
        <v>65</v>
      </c>
      <c r="D10" s="28">
        <f t="shared" ref="D10:D13" si="0">E10*10000/F10</f>
        <v>64.999999999960934</v>
      </c>
      <c r="E10" s="29">
        <f>(1-$B$5)*SUMPRODUCT($G$19:G27,$H$19:H27)</f>
        <v>1.4153980064388932E-2</v>
      </c>
      <c r="F10" s="28">
        <f>SUMPRODUCT($B$19:B27,$F$19:F27,$H$19:H27)</f>
        <v>2.1775353945226827</v>
      </c>
      <c r="G10" s="28">
        <f t="shared" ref="G10:G13" si="1">C10-D10</f>
        <v>3.9065639612090308E-11</v>
      </c>
      <c r="H10" s="28">
        <f t="shared" ref="H10:H13" si="2">G10^2</f>
        <v>1.5261241983017194E-21</v>
      </c>
      <c r="I10" s="5"/>
    </row>
    <row r="11" spans="1:9" x14ac:dyDescent="0.3">
      <c r="A11" s="26" t="s">
        <v>7</v>
      </c>
      <c r="B11" s="27">
        <v>1.212543918000774E-2</v>
      </c>
      <c r="C11" s="4">
        <v>67</v>
      </c>
      <c r="D11" s="28">
        <f t="shared" si="0"/>
        <v>66.999999999974477</v>
      </c>
      <c r="E11" s="29">
        <f>(1-$B$5)*SUMPRODUCT($G$19:G31,$H$19:H31)</f>
        <v>2.0646703978946784E-2</v>
      </c>
      <c r="F11" s="28">
        <f>SUMPRODUCT($B$19:B31,$F$19:F31,$H$19:H31)</f>
        <v>3.0815976087992012</v>
      </c>
      <c r="G11" s="28">
        <f t="shared" si="1"/>
        <v>2.5522695068502799E-11</v>
      </c>
      <c r="H11" s="28">
        <f t="shared" si="2"/>
        <v>6.5140796355977708E-22</v>
      </c>
      <c r="I11" s="5"/>
    </row>
    <row r="12" spans="1:9" x14ac:dyDescent="0.3">
      <c r="A12" s="26" t="s">
        <v>8</v>
      </c>
      <c r="B12" s="27">
        <v>1.2081244741386559E-2</v>
      </c>
      <c r="C12" s="4">
        <v>68</v>
      </c>
      <c r="D12" s="28">
        <f t="shared" si="0"/>
        <v>67.999999999993889</v>
      </c>
      <c r="E12" s="29">
        <f>(1-$B$5)*SUMPRODUCT($G$19:G35,$H$19:H35)</f>
        <v>2.6849220689418276E-2</v>
      </c>
      <c r="F12" s="28">
        <f>SUMPRODUCT($B$19:B35,$F$19:F35,$H$19:H35)</f>
        <v>3.9484148072677483</v>
      </c>
      <c r="G12" s="28">
        <f t="shared" si="1"/>
        <v>6.1106675275368616E-12</v>
      </c>
      <c r="H12" s="28">
        <f t="shared" si="2"/>
        <v>3.7340257632093461E-23</v>
      </c>
      <c r="I12" s="5"/>
    </row>
    <row r="13" spans="1:9" x14ac:dyDescent="0.3">
      <c r="A13" s="26" t="s">
        <v>9</v>
      </c>
      <c r="B13" s="27">
        <v>1.3417656499816291E-2</v>
      </c>
      <c r="C13" s="4">
        <v>70</v>
      </c>
      <c r="D13" s="28">
        <f t="shared" si="0"/>
        <v>70.000000000002672</v>
      </c>
      <c r="E13" s="29">
        <f>(1-$B$5)*SUMPRODUCT($G$19:G39,$H$19:H39)</f>
        <v>3.3467416806406448E-2</v>
      </c>
      <c r="F13" s="28">
        <f>SUMPRODUCT($B$19:B39,$F$19:F39,$H$19:H39)</f>
        <v>4.7810595437721668</v>
      </c>
      <c r="G13" s="28">
        <f t="shared" si="1"/>
        <v>-2.6716406864579767E-12</v>
      </c>
      <c r="H13" s="28">
        <f t="shared" si="2"/>
        <v>7.137663957537649E-24</v>
      </c>
      <c r="I13" s="5"/>
    </row>
    <row r="14" spans="1:9" x14ac:dyDescent="0.3">
      <c r="A14" s="10"/>
      <c r="B14" s="10"/>
      <c r="C14" s="10"/>
      <c r="D14" s="10"/>
      <c r="E14" s="10"/>
      <c r="F14" s="12"/>
      <c r="G14" s="30" t="s">
        <v>38</v>
      </c>
      <c r="H14" s="31">
        <f>AVERAGE(H9:H13)</f>
        <v>4.6318822544184244E-22</v>
      </c>
      <c r="I14" s="5"/>
    </row>
    <row r="15" spans="1:9" x14ac:dyDescent="0.3">
      <c r="A15" s="6" t="s">
        <v>17</v>
      </c>
      <c r="B15" s="43">
        <v>40532</v>
      </c>
      <c r="D15" s="3"/>
      <c r="E15" s="3"/>
      <c r="G15" s="10"/>
      <c r="H15" s="10"/>
    </row>
    <row r="16" spans="1:9" x14ac:dyDescent="0.3">
      <c r="A16" s="1" t="s">
        <v>18</v>
      </c>
      <c r="B16" s="1" t="s">
        <v>20</v>
      </c>
      <c r="C16" s="13"/>
      <c r="D16" s="24" t="s">
        <v>22</v>
      </c>
      <c r="E16" s="24" t="s">
        <v>24</v>
      </c>
      <c r="F16" s="14"/>
      <c r="G16" s="3"/>
      <c r="H16" s="3"/>
    </row>
    <row r="17" spans="1:9" x14ac:dyDescent="0.3">
      <c r="A17" s="1" t="s">
        <v>19</v>
      </c>
      <c r="B17" s="1" t="s">
        <v>21</v>
      </c>
      <c r="C17" s="13"/>
      <c r="D17" s="24" t="s">
        <v>23</v>
      </c>
      <c r="E17" s="24" t="s">
        <v>25</v>
      </c>
      <c r="F17" s="24" t="s">
        <v>26</v>
      </c>
      <c r="G17" s="15" t="s">
        <v>27</v>
      </c>
      <c r="H17" s="1" t="s">
        <v>28</v>
      </c>
      <c r="I17" s="5"/>
    </row>
    <row r="18" spans="1:9" x14ac:dyDescent="0.3">
      <c r="A18" s="16">
        <f>B1+1</f>
        <v>40578</v>
      </c>
      <c r="B18" s="11"/>
      <c r="C18" s="5"/>
      <c r="D18" s="17"/>
      <c r="E18" s="11">
        <f>(A18-$A$18)*252/360</f>
        <v>0</v>
      </c>
      <c r="F18" s="24">
        <f>EXP(D19*E18)</f>
        <v>1</v>
      </c>
      <c r="G18" s="11"/>
      <c r="H18" s="11">
        <f>EXP(-E18*$B$4)</f>
        <v>1</v>
      </c>
      <c r="I18" s="5"/>
    </row>
    <row r="19" spans="1:9" x14ac:dyDescent="0.3">
      <c r="A19" s="16">
        <v>40622</v>
      </c>
      <c r="B19" s="18">
        <f>(A19-B15)/360</f>
        <v>0.25</v>
      </c>
      <c r="C19" s="13"/>
      <c r="D19" s="19">
        <f>$B$9</f>
        <v>1.1295293680962198E-2</v>
      </c>
      <c r="E19" s="7">
        <f>(A19-$A$18)/365.242</f>
        <v>0.12046807322268523</v>
      </c>
      <c r="F19" s="25">
        <f>EXP(-D19*E19)</f>
        <v>0.99864020309654489</v>
      </c>
      <c r="G19" s="7">
        <f>F18-F19</f>
        <v>1.3597969034551127E-3</v>
      </c>
      <c r="H19" s="7">
        <f>EXP(-E19*$B$4)</f>
        <v>0.99639248059357344</v>
      </c>
      <c r="I19" s="5"/>
    </row>
    <row r="20" spans="1:9" x14ac:dyDescent="0.3">
      <c r="A20" s="16">
        <v>40714</v>
      </c>
      <c r="B20" s="18">
        <f>(A20-A19)/360</f>
        <v>0.25555555555555554</v>
      </c>
      <c r="C20" s="13"/>
      <c r="D20" s="19">
        <f t="shared" ref="D20:D23" si="3">$B$9</f>
        <v>1.1295293680962198E-2</v>
      </c>
      <c r="E20" s="7">
        <f t="shared" ref="E20:E39" si="4">(A20-$A$18)/365.242</f>
        <v>0.37235586268829979</v>
      </c>
      <c r="F20" s="25">
        <f t="shared" ref="F20:F23" si="5">EXP(-D20*E20)</f>
        <v>0.99580296345657704</v>
      </c>
      <c r="G20" s="7">
        <f t="shared" ref="G20:G39" si="6">F19-F20</f>
        <v>2.8372396399678479E-3</v>
      </c>
      <c r="H20" s="7">
        <f t="shared" ref="H20:H39" si="7">EXP(-E20*$B$4)</f>
        <v>0.98889148444624386</v>
      </c>
      <c r="I20" s="5"/>
    </row>
    <row r="21" spans="1:9" x14ac:dyDescent="0.3">
      <c r="A21" s="16">
        <v>40806</v>
      </c>
      <c r="B21" s="18">
        <f t="shared" ref="B21:B39" si="8">(A21-A20)/360</f>
        <v>0.25555555555555554</v>
      </c>
      <c r="C21" s="13"/>
      <c r="D21" s="19">
        <f t="shared" si="3"/>
        <v>1.1295293680962198E-2</v>
      </c>
      <c r="E21" s="7">
        <f t="shared" si="4"/>
        <v>0.62424365215391431</v>
      </c>
      <c r="F21" s="25">
        <f t="shared" si="5"/>
        <v>0.99297378470655695</v>
      </c>
      <c r="G21" s="7">
        <f t="shared" si="6"/>
        <v>2.8291787500200893E-3</v>
      </c>
      <c r="H21" s="7">
        <f t="shared" si="7"/>
        <v>0.98144695695388529</v>
      </c>
      <c r="I21" s="5"/>
    </row>
    <row r="22" spans="1:9" x14ac:dyDescent="0.3">
      <c r="A22" s="16">
        <v>40897</v>
      </c>
      <c r="B22" s="18">
        <f t="shared" si="8"/>
        <v>0.25277777777777777</v>
      </c>
      <c r="C22" s="13"/>
      <c r="D22" s="19">
        <f t="shared" si="3"/>
        <v>1.1295293680962198E-2</v>
      </c>
      <c r="E22" s="7">
        <f t="shared" si="4"/>
        <v>0.87339353086446792</v>
      </c>
      <c r="F22" s="25">
        <f t="shared" si="5"/>
        <v>0.99018326538973711</v>
      </c>
      <c r="G22" s="7">
        <f t="shared" si="6"/>
        <v>2.7905193168198394E-3</v>
      </c>
      <c r="H22" s="7">
        <f t="shared" si="7"/>
        <v>0.97413848285269233</v>
      </c>
      <c r="I22" s="5"/>
    </row>
    <row r="23" spans="1:9" x14ac:dyDescent="0.3">
      <c r="A23" s="16">
        <v>40988</v>
      </c>
      <c r="B23" s="18">
        <f t="shared" si="8"/>
        <v>0.25277777777777777</v>
      </c>
      <c r="C23" s="13"/>
      <c r="D23" s="19">
        <f t="shared" si="3"/>
        <v>1.1295293680962198E-2</v>
      </c>
      <c r="E23" s="7">
        <f t="shared" si="4"/>
        <v>1.1225434095750215</v>
      </c>
      <c r="F23" s="25">
        <f t="shared" si="5"/>
        <v>0.9874005881712461</v>
      </c>
      <c r="G23" s="7">
        <f t="shared" si="6"/>
        <v>2.7826772184910142E-3</v>
      </c>
      <c r="H23" s="7">
        <f t="shared" si="7"/>
        <v>0.96688443226701304</v>
      </c>
      <c r="I23" s="5"/>
    </row>
    <row r="24" spans="1:9" x14ac:dyDescent="0.3">
      <c r="A24" s="16">
        <v>41080</v>
      </c>
      <c r="B24" s="18">
        <f t="shared" si="8"/>
        <v>0.25555555555555554</v>
      </c>
      <c r="C24" s="13"/>
      <c r="D24" s="20">
        <f>$B$10</f>
        <v>1.2079850319417704E-2</v>
      </c>
      <c r="E24" s="7">
        <f t="shared" si="4"/>
        <v>1.3744311990406359</v>
      </c>
      <c r="F24" s="25">
        <f>EXP(-$D$23*$E$23-(E24-$E$23)*D24)</f>
        <v>0.98440072470612028</v>
      </c>
      <c r="G24" s="7">
        <f t="shared" si="6"/>
        <v>2.9998634651258183E-3</v>
      </c>
      <c r="H24" s="7">
        <f t="shared" si="7"/>
        <v>0.95960557725495277</v>
      </c>
      <c r="I24" s="5"/>
    </row>
    <row r="25" spans="1:9" x14ac:dyDescent="0.3">
      <c r="A25" s="16">
        <v>41172</v>
      </c>
      <c r="B25" s="18">
        <f t="shared" si="8"/>
        <v>0.25555555555555554</v>
      </c>
      <c r="C25" s="13"/>
      <c r="D25" s="20">
        <f t="shared" ref="D25:D27" si="9">$B$10</f>
        <v>1.2079850319417704E-2</v>
      </c>
      <c r="E25" s="7">
        <f t="shared" si="4"/>
        <v>1.6263189885062506</v>
      </c>
      <c r="F25" s="25">
        <f t="shared" ref="F25:F27" si="10">EXP(-$D$23*$E$23-(E25-$E$23)*D25)</f>
        <v>0.98140997525299445</v>
      </c>
      <c r="G25" s="7">
        <f t="shared" si="6"/>
        <v>2.9907494531258294E-3</v>
      </c>
      <c r="H25" s="7">
        <f t="shared" si="7"/>
        <v>0.95238151858516307</v>
      </c>
      <c r="I25" s="5"/>
    </row>
    <row r="26" spans="1:9" x14ac:dyDescent="0.3">
      <c r="A26" s="16">
        <v>41263</v>
      </c>
      <c r="B26" s="18">
        <f t="shared" si="8"/>
        <v>0.25277777777777777</v>
      </c>
      <c r="C26" s="13"/>
      <c r="D26" s="20">
        <f t="shared" si="9"/>
        <v>1.2079850319417704E-2</v>
      </c>
      <c r="E26" s="7">
        <f t="shared" si="4"/>
        <v>1.8754688672168041</v>
      </c>
      <c r="F26" s="25">
        <f t="shared" si="10"/>
        <v>0.97846067275710702</v>
      </c>
      <c r="G26" s="7">
        <f t="shared" si="6"/>
        <v>2.9493024958874292E-3</v>
      </c>
      <c r="H26" s="7">
        <f t="shared" si="7"/>
        <v>0.9452894841010604</v>
      </c>
      <c r="I26" s="5"/>
    </row>
    <row r="27" spans="1:9" x14ac:dyDescent="0.3">
      <c r="A27" s="16">
        <v>41353</v>
      </c>
      <c r="B27" s="18">
        <f t="shared" si="8"/>
        <v>0.25</v>
      </c>
      <c r="C27" s="13"/>
      <c r="D27" s="20">
        <f t="shared" si="9"/>
        <v>1.2079850319417704E-2</v>
      </c>
      <c r="E27" s="7">
        <f t="shared" si="4"/>
        <v>2.1218808351722966</v>
      </c>
      <c r="F27" s="25">
        <f t="shared" si="10"/>
        <v>0.97555249786545639</v>
      </c>
      <c r="G27" s="7">
        <f t="shared" si="6"/>
        <v>2.9081748916506278E-3</v>
      </c>
      <c r="H27" s="7">
        <f t="shared" si="7"/>
        <v>0.93832732991584589</v>
      </c>
      <c r="I27" s="5"/>
    </row>
    <row r="28" spans="1:9" x14ac:dyDescent="0.3">
      <c r="A28" s="16">
        <v>41445</v>
      </c>
      <c r="B28" s="18">
        <f t="shared" si="8"/>
        <v>0.25555555555555554</v>
      </c>
      <c r="C28" s="13"/>
      <c r="D28" s="21">
        <f>$B$11</f>
        <v>1.212543918000774E-2</v>
      </c>
      <c r="E28" s="7">
        <f t="shared" si="4"/>
        <v>2.3737686246379113</v>
      </c>
      <c r="F28" s="25">
        <f>EXP(-$D$23*$E$23-($E$27-$E$23)*$D$27-(E28-$E$27)*D28)</f>
        <v>0.9725774621434804</v>
      </c>
      <c r="G28" s="7">
        <f t="shared" si="6"/>
        <v>2.9750357219759938E-3</v>
      </c>
      <c r="H28" s="7">
        <f t="shared" si="7"/>
        <v>0.9312634571712024</v>
      </c>
      <c r="I28" s="5"/>
    </row>
    <row r="29" spans="1:9" x14ac:dyDescent="0.3">
      <c r="A29" s="16">
        <v>41537</v>
      </c>
      <c r="B29" s="18">
        <f t="shared" si="8"/>
        <v>0.25555555555555554</v>
      </c>
      <c r="C29" s="13"/>
      <c r="D29" s="21">
        <f t="shared" ref="D29:D31" si="11">$B$11</f>
        <v>1.212543918000774E-2</v>
      </c>
      <c r="E29" s="7">
        <f t="shared" si="4"/>
        <v>2.6256564141035259</v>
      </c>
      <c r="F29" s="25">
        <f t="shared" ref="F29:F31" si="12">EXP(-$D$23*$E$23-($E$27-$E$23)*$D$27-(E29-$E$27)*D29)</f>
        <v>0.96961149906246058</v>
      </c>
      <c r="G29" s="7">
        <f t="shared" si="6"/>
        <v>2.9659630810198179E-3</v>
      </c>
      <c r="H29" s="7">
        <f t="shared" si="7"/>
        <v>0.92425276234918952</v>
      </c>
      <c r="I29" s="5"/>
    </row>
    <row r="30" spans="1:9" x14ac:dyDescent="0.3">
      <c r="A30" s="16">
        <v>41628</v>
      </c>
      <c r="B30" s="18">
        <f t="shared" si="8"/>
        <v>0.25277777777777777</v>
      </c>
      <c r="C30" s="13"/>
      <c r="D30" s="21">
        <f t="shared" si="11"/>
        <v>1.212543918000774E-2</v>
      </c>
      <c r="E30" s="7">
        <f t="shared" si="4"/>
        <v>2.8748062928140792</v>
      </c>
      <c r="F30" s="25">
        <f t="shared" si="12"/>
        <v>0.96668667284402277</v>
      </c>
      <c r="G30" s="7">
        <f t="shared" si="6"/>
        <v>2.9248262184378149E-3</v>
      </c>
      <c r="H30" s="7">
        <f t="shared" si="7"/>
        <v>0.91737019235523865</v>
      </c>
      <c r="I30" s="5"/>
    </row>
    <row r="31" spans="1:9" x14ac:dyDescent="0.3">
      <c r="A31" s="16">
        <v>41718</v>
      </c>
      <c r="B31" s="18">
        <f t="shared" si="8"/>
        <v>0.25</v>
      </c>
      <c r="C31" s="13"/>
      <c r="D31" s="21">
        <f t="shared" si="11"/>
        <v>1.212543918000774E-2</v>
      </c>
      <c r="E31" s="7">
        <f t="shared" si="4"/>
        <v>3.121218260769572</v>
      </c>
      <c r="F31" s="25">
        <f t="shared" si="12"/>
        <v>0.9638026654898656</v>
      </c>
      <c r="G31" s="7">
        <f t="shared" si="6"/>
        <v>2.8840073541571698E-3</v>
      </c>
      <c r="H31" s="7">
        <f t="shared" si="7"/>
        <v>0.91061366662262588</v>
      </c>
      <c r="I31" s="5"/>
    </row>
    <row r="32" spans="1:9" x14ac:dyDescent="0.3">
      <c r="A32" s="16">
        <v>41810</v>
      </c>
      <c r="B32" s="18">
        <f t="shared" si="8"/>
        <v>0.25555555555555554</v>
      </c>
      <c r="C32" s="13"/>
      <c r="D32" s="22">
        <f>$B$12</f>
        <v>1.2081244741386559E-2</v>
      </c>
      <c r="E32" s="7">
        <f t="shared" si="4"/>
        <v>3.3731060502351862</v>
      </c>
      <c r="F32" s="25">
        <f>EXP(-$D$23*$E$23-($E$27-$E$23)*$D$27-($E$31-$E$27)*$D$31-(E32-$E$31)*D32)</f>
        <v>0.96087415837569157</v>
      </c>
      <c r="G32" s="7">
        <f t="shared" si="6"/>
        <v>2.9285071141740282E-3</v>
      </c>
      <c r="H32" s="7">
        <f t="shared" si="7"/>
        <v>0.90375842660618899</v>
      </c>
      <c r="I32" s="5"/>
    </row>
    <row r="33" spans="1:9" x14ac:dyDescent="0.3">
      <c r="A33" s="16">
        <v>41902</v>
      </c>
      <c r="B33" s="18">
        <f t="shared" si="8"/>
        <v>0.25555555555555554</v>
      </c>
      <c r="C33" s="13"/>
      <c r="D33" s="22">
        <f t="shared" ref="D33:D35" si="13">$B$12</f>
        <v>1.2081244741386559E-2</v>
      </c>
      <c r="E33" s="7">
        <f t="shared" si="4"/>
        <v>3.6249938397008008</v>
      </c>
      <c r="F33" s="25">
        <f t="shared" ref="F33:F35" si="14">EXP(-$D$23*$E$23-($E$27-$E$23)*$D$27-($E$31-$E$27)*$D$31-(E33-$E$31)*D33)</f>
        <v>0.95795454950824865</v>
      </c>
      <c r="G33" s="7">
        <f t="shared" si="6"/>
        <v>2.9196088674429133E-3</v>
      </c>
      <c r="H33" s="7">
        <f t="shared" si="7"/>
        <v>0.89695479389305255</v>
      </c>
      <c r="I33" s="5"/>
    </row>
    <row r="34" spans="1:9" x14ac:dyDescent="0.3">
      <c r="A34" s="16">
        <v>41993</v>
      </c>
      <c r="B34" s="18">
        <f t="shared" si="8"/>
        <v>0.25277777777777777</v>
      </c>
      <c r="C34" s="13"/>
      <c r="D34" s="22">
        <f t="shared" si="13"/>
        <v>1.2081244741386559E-2</v>
      </c>
      <c r="E34" s="7">
        <f t="shared" si="4"/>
        <v>3.8741437184113545</v>
      </c>
      <c r="F34" s="25">
        <f t="shared" si="14"/>
        <v>0.95507540271019675</v>
      </c>
      <c r="G34" s="7">
        <f t="shared" si="6"/>
        <v>2.8791467980519014E-3</v>
      </c>
      <c r="H34" s="7">
        <f t="shared" si="7"/>
        <v>0.89027550181856874</v>
      </c>
      <c r="I34" s="5"/>
    </row>
    <row r="35" spans="1:9" x14ac:dyDescent="0.3">
      <c r="A35" s="16">
        <v>42083</v>
      </c>
      <c r="B35" s="18">
        <f t="shared" si="8"/>
        <v>0.25</v>
      </c>
      <c r="C35" s="13"/>
      <c r="D35" s="22">
        <f t="shared" si="13"/>
        <v>1.2081244741386559E-2</v>
      </c>
      <c r="E35" s="7">
        <f t="shared" si="4"/>
        <v>4.1205556863668473</v>
      </c>
      <c r="F35" s="25">
        <f t="shared" si="14"/>
        <v>0.95223640618605421</v>
      </c>
      <c r="G35" s="7">
        <f t="shared" si="6"/>
        <v>2.8389965241425452E-3</v>
      </c>
      <c r="H35" s="7">
        <f t="shared" si="7"/>
        <v>0.88371853126591915</v>
      </c>
      <c r="I35" s="5"/>
    </row>
    <row r="36" spans="1:9" x14ac:dyDescent="0.3">
      <c r="A36" s="16">
        <v>42175</v>
      </c>
      <c r="B36" s="18">
        <f t="shared" si="8"/>
        <v>0.25555555555555554</v>
      </c>
      <c r="C36" s="13"/>
      <c r="D36" s="23">
        <f>$B$13</f>
        <v>1.3417656499816291E-2</v>
      </c>
      <c r="E36" s="7">
        <f t="shared" si="4"/>
        <v>4.372443475832462</v>
      </c>
      <c r="F36" s="25">
        <f>EXP(-$D$23*$E$23-($E$27-$E$23)*$D$27-($E$31-$E$27)*$D$31-($E$35-$E$31)*$D$35-(E36-$E$35)*D36)</f>
        <v>0.94902352348082875</v>
      </c>
      <c r="G36" s="7">
        <f t="shared" si="6"/>
        <v>3.2128827052254616E-3</v>
      </c>
      <c r="H36" s="7">
        <f t="shared" si="7"/>
        <v>0.87706576197323993</v>
      </c>
      <c r="I36" s="5"/>
    </row>
    <row r="37" spans="1:9" x14ac:dyDescent="0.3">
      <c r="A37" s="16">
        <v>42267</v>
      </c>
      <c r="B37" s="18">
        <f t="shared" si="8"/>
        <v>0.25555555555555554</v>
      </c>
      <c r="C37" s="13"/>
      <c r="D37" s="23">
        <f t="shared" ref="D37:D39" si="15">$B$13</f>
        <v>1.3417656499816291E-2</v>
      </c>
      <c r="E37" s="7">
        <f t="shared" si="4"/>
        <v>4.6243312652980757</v>
      </c>
      <c r="F37" s="25">
        <f t="shared" ref="F37:F39" si="16">EXP(-$D$23*$E$23-($E$27-$E$23)*$D$27-($E$31-$E$27)*$D$31-($E$35-$E$31)*$D$35-(E37-$E$35)*D37)</f>
        <v>0.94582148116692888</v>
      </c>
      <c r="G37" s="7">
        <f t="shared" si="6"/>
        <v>3.2020423138998666E-3</v>
      </c>
      <c r="H37" s="7">
        <f t="shared" si="7"/>
        <v>0.87046307575305015</v>
      </c>
      <c r="I37" s="5"/>
    </row>
    <row r="38" spans="1:9" x14ac:dyDescent="0.3">
      <c r="A38" s="16">
        <v>42358</v>
      </c>
      <c r="B38" s="18">
        <f t="shared" si="8"/>
        <v>0.25277777777777777</v>
      </c>
      <c r="C38" s="13"/>
      <c r="D38" s="23">
        <f t="shared" si="15"/>
        <v>1.3417656499816291E-2</v>
      </c>
      <c r="E38" s="7">
        <f t="shared" si="4"/>
        <v>4.8734811440086299</v>
      </c>
      <c r="F38" s="25">
        <f t="shared" si="16"/>
        <v>0.94266487209530869</v>
      </c>
      <c r="G38" s="7">
        <f t="shared" si="6"/>
        <v>3.1566090716201867E-3</v>
      </c>
      <c r="H38" s="7">
        <f t="shared" si="7"/>
        <v>0.86398105774880574</v>
      </c>
      <c r="I38" s="5"/>
    </row>
    <row r="39" spans="1:9" x14ac:dyDescent="0.3">
      <c r="A39" s="16">
        <v>42449</v>
      </c>
      <c r="B39" s="18">
        <f t="shared" si="8"/>
        <v>0.25277777777777777</v>
      </c>
      <c r="C39" s="13"/>
      <c r="D39" s="23">
        <f t="shared" si="15"/>
        <v>1.3417656499816291E-2</v>
      </c>
      <c r="E39" s="7">
        <f t="shared" si="4"/>
        <v>5.1226310227191831</v>
      </c>
      <c r="F39" s="25">
        <f t="shared" si="16"/>
        <v>0.93951879797243887</v>
      </c>
      <c r="G39" s="7">
        <f t="shared" si="6"/>
        <v>3.1460741228698241E-3</v>
      </c>
      <c r="H39" s="7">
        <f t="shared" si="7"/>
        <v>0.85754730894583786</v>
      </c>
      <c r="I39" s="5"/>
    </row>
    <row r="40" spans="1:9" x14ac:dyDescent="0.3">
      <c r="A40" s="10"/>
      <c r="B40" s="10"/>
      <c r="D40" s="10"/>
      <c r="E40" s="10"/>
      <c r="F40" s="10"/>
      <c r="G40" s="10"/>
      <c r="H40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ibrate">
                <anchor moveWithCells="1" sizeWithCells="1">
                  <from>
                    <xdr:col>2</xdr:col>
                    <xdr:colOff>243840</xdr:colOff>
                    <xdr:row>1</xdr:row>
                    <xdr:rowOff>53340</xdr:rowOff>
                  </from>
                  <to>
                    <xdr:col>3</xdr:col>
                    <xdr:colOff>1143000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64A7F-13B8-499E-A73E-91EDA693221F}">
  <sheetPr codeName="Sheet2"/>
  <dimension ref="A1:O40"/>
  <sheetViews>
    <sheetView zoomScale="63" zoomScaleNormal="63" workbookViewId="0">
      <selection activeCell="L39" sqref="L39"/>
    </sheetView>
  </sheetViews>
  <sheetFormatPr defaultRowHeight="14.4" x14ac:dyDescent="0.3"/>
  <cols>
    <col min="1" max="1" width="21.109375" style="2" bestFit="1" customWidth="1"/>
    <col min="2" max="2" width="20.21875" style="2" customWidth="1"/>
    <col min="3" max="3" width="10.5546875" style="2" customWidth="1"/>
    <col min="4" max="4" width="23.5546875" style="2" bestFit="1" customWidth="1"/>
    <col min="5" max="5" width="20.21875" style="2" customWidth="1"/>
    <col min="6" max="6" width="17.21875" style="2" customWidth="1"/>
    <col min="7" max="7" width="20.21875" style="2" customWidth="1"/>
    <col min="8" max="8" width="18.44140625" style="2" customWidth="1"/>
    <col min="9" max="11" width="8.88671875" style="2"/>
    <col min="12" max="12" width="23.88671875" style="2" bestFit="1" customWidth="1"/>
    <col min="13" max="13" width="10.6640625" style="2" bestFit="1" customWidth="1"/>
    <col min="14" max="16384" width="8.88671875" style="2"/>
  </cols>
  <sheetData>
    <row r="1" spans="1:15" x14ac:dyDescent="0.3">
      <c r="A1" s="32" t="s">
        <v>0</v>
      </c>
      <c r="B1" s="33">
        <v>43077</v>
      </c>
      <c r="C1" s="34"/>
      <c r="D1" s="34"/>
      <c r="E1" s="6" t="s">
        <v>40</v>
      </c>
      <c r="F1" s="35"/>
      <c r="G1" s="35"/>
      <c r="H1" s="35"/>
    </row>
    <row r="2" spans="1:15" x14ac:dyDescent="0.3">
      <c r="A2" s="34"/>
      <c r="B2" s="34"/>
      <c r="C2" s="34"/>
      <c r="D2" s="36"/>
      <c r="E2" s="24" t="s">
        <v>33</v>
      </c>
      <c r="F2" s="37" t="s">
        <v>34</v>
      </c>
      <c r="G2" s="24" t="s">
        <v>29</v>
      </c>
      <c r="H2" s="29">
        <f>M8</f>
        <v>2.7422647061826521E-2</v>
      </c>
      <c r="I2" s="5"/>
    </row>
    <row r="3" spans="1:15" x14ac:dyDescent="0.3">
      <c r="A3" s="6" t="s">
        <v>1</v>
      </c>
      <c r="B3" s="35"/>
      <c r="C3" s="34"/>
      <c r="D3" s="36"/>
      <c r="E3" s="24" t="s">
        <v>35</v>
      </c>
      <c r="F3" s="38">
        <f>A33</f>
        <v>44367</v>
      </c>
      <c r="G3" s="24" t="s">
        <v>30</v>
      </c>
      <c r="H3" s="28">
        <f>M9</f>
        <v>3.5234820839226004</v>
      </c>
      <c r="I3" s="5"/>
    </row>
    <row r="4" spans="1:15" x14ac:dyDescent="0.3">
      <c r="A4" s="24" t="s">
        <v>2</v>
      </c>
      <c r="B4" s="39">
        <v>0.03</v>
      </c>
      <c r="C4" s="40"/>
      <c r="D4" s="36"/>
      <c r="E4" s="24" t="s">
        <v>36</v>
      </c>
      <c r="F4" s="37">
        <v>115</v>
      </c>
      <c r="G4" s="24" t="s">
        <v>31</v>
      </c>
      <c r="H4" s="28">
        <f>H2*10000/H3</f>
        <v>77.828257413182598</v>
      </c>
      <c r="I4" s="5"/>
    </row>
    <row r="5" spans="1:15" x14ac:dyDescent="0.3">
      <c r="A5" s="24" t="s">
        <v>3</v>
      </c>
      <c r="B5" s="41">
        <v>0.4</v>
      </c>
      <c r="C5" s="40"/>
      <c r="D5" s="36"/>
      <c r="E5" s="24" t="s">
        <v>37</v>
      </c>
      <c r="F5" s="42">
        <v>10000000</v>
      </c>
      <c r="G5" s="24" t="s">
        <v>32</v>
      </c>
      <c r="H5" s="8">
        <f>IF(F2="L",1,-1)*((H4-F4)*F5/10000)*H3</f>
        <v>-130973.96903283386</v>
      </c>
      <c r="I5" s="5"/>
    </row>
    <row r="6" spans="1:15" x14ac:dyDescent="0.3">
      <c r="A6" s="9"/>
      <c r="B6" s="10"/>
      <c r="E6" s="10"/>
      <c r="F6" s="10"/>
      <c r="G6" s="10"/>
      <c r="H6" s="10"/>
      <c r="L6" s="46" t="s">
        <v>41</v>
      </c>
      <c r="M6" s="47"/>
    </row>
    <row r="7" spans="1:15" x14ac:dyDescent="0.3">
      <c r="A7" s="6" t="s">
        <v>39</v>
      </c>
      <c r="B7" s="3"/>
      <c r="C7" s="3"/>
      <c r="D7" s="3"/>
      <c r="E7" s="3"/>
      <c r="F7" s="3"/>
      <c r="G7" s="3"/>
      <c r="H7" s="3"/>
      <c r="L7" s="48"/>
      <c r="M7" s="49"/>
    </row>
    <row r="8" spans="1:15" x14ac:dyDescent="0.3">
      <c r="A8" s="1" t="s">
        <v>4</v>
      </c>
      <c r="B8" s="1" t="s">
        <v>10</v>
      </c>
      <c r="C8" s="1" t="s">
        <v>11</v>
      </c>
      <c r="D8" s="1" t="s">
        <v>16</v>
      </c>
      <c r="E8" s="1" t="s">
        <v>12</v>
      </c>
      <c r="F8" s="1" t="s">
        <v>13</v>
      </c>
      <c r="G8" s="1" t="s">
        <v>14</v>
      </c>
      <c r="H8" s="1" t="s">
        <v>15</v>
      </c>
      <c r="I8" s="5"/>
      <c r="L8" s="1" t="s">
        <v>12</v>
      </c>
      <c r="M8" s="29">
        <f>(1-$B$5)*SUMPRODUCT($G$19:G33,$H$19:H33)</f>
        <v>2.7422647061826521E-2</v>
      </c>
    </row>
    <row r="9" spans="1:15" x14ac:dyDescent="0.3">
      <c r="A9" s="26" t="s">
        <v>5</v>
      </c>
      <c r="B9" s="27">
        <v>1.3369954678271602E-2</v>
      </c>
      <c r="C9" s="4">
        <v>65</v>
      </c>
      <c r="D9" s="28">
        <f>E9*10000/F9</f>
        <v>64.999999999649987</v>
      </c>
      <c r="E9" s="29">
        <f>(1-$B$5)*SUMPRODUCT($G$19:G23,$H$19:H23)</f>
        <v>8.047161842105072E-3</v>
      </c>
      <c r="F9" s="28">
        <f>SUMPRODUCT($B$19:B23,$F$19:F23,$H$19:H23)</f>
        <v>1.2380248987920623</v>
      </c>
      <c r="G9" s="28">
        <f>C9-D9</f>
        <v>3.5001335163542535E-10</v>
      </c>
      <c r="H9" s="28">
        <f>G9^2</f>
        <v>1.2250934632306391E-19</v>
      </c>
      <c r="I9" s="5"/>
      <c r="L9" s="1" t="s">
        <v>13</v>
      </c>
      <c r="M9" s="28">
        <f>SUMPRODUCT($B$19:B33,$F$19:F33,$H$19:H33)</f>
        <v>3.5234820839226004</v>
      </c>
    </row>
    <row r="10" spans="1:15" x14ac:dyDescent="0.3">
      <c r="A10" s="26" t="s">
        <v>6</v>
      </c>
      <c r="B10" s="27">
        <v>1.2534599951423994E-2</v>
      </c>
      <c r="C10" s="4">
        <v>69</v>
      </c>
      <c r="D10" s="28">
        <f t="shared" ref="D10:D13" si="0">E10*10000/F10</f>
        <v>68.999999999444356</v>
      </c>
      <c r="E10" s="29">
        <f>(1-$B$5)*SUMPRODUCT($G$19:G27,$H$19:H27)</f>
        <v>1.5057788701716805E-2</v>
      </c>
      <c r="F10" s="28">
        <f>SUMPRODUCT($B$19:B27,$F$19:F27,$H$19:H27)</f>
        <v>2.1822882176576903</v>
      </c>
      <c r="G10" s="28">
        <f t="shared" ref="G10:G13" si="1">C10-D10</f>
        <v>5.5564441936439835E-10</v>
      </c>
      <c r="H10" s="28">
        <f t="shared" ref="H10:H13" si="2">G10^2</f>
        <v>3.0874072077079937E-19</v>
      </c>
      <c r="I10" s="5"/>
      <c r="L10" s="1" t="s">
        <v>16</v>
      </c>
      <c r="M10" s="44">
        <f>M8*10000/M9</f>
        <v>77.828257413182598</v>
      </c>
    </row>
    <row r="11" spans="1:15" x14ac:dyDescent="0.3">
      <c r="A11" s="26" t="s">
        <v>7</v>
      </c>
      <c r="B11" s="27">
        <v>1.5097385707745506E-2</v>
      </c>
      <c r="C11" s="4">
        <v>75</v>
      </c>
      <c r="D11" s="28">
        <f t="shared" si="0"/>
        <v>75.000000000334296</v>
      </c>
      <c r="E11" s="29">
        <f>(1-$B$5)*SUMPRODUCT($G$19:G31,$H$19:H31)</f>
        <v>2.3161663643420555E-2</v>
      </c>
      <c r="F11" s="28">
        <f>SUMPRODUCT($B$19:B31,$F$19:F31,$H$19:H31)</f>
        <v>3.0882218191089756</v>
      </c>
      <c r="G11" s="28">
        <f t="shared" si="1"/>
        <v>-3.3429614632041194E-10</v>
      </c>
      <c r="H11" s="28">
        <f t="shared" si="2"/>
        <v>1.1175391344467827E-19</v>
      </c>
      <c r="I11" s="5"/>
    </row>
    <row r="12" spans="1:15" x14ac:dyDescent="0.3">
      <c r="A12" s="26" t="s">
        <v>8</v>
      </c>
      <c r="B12" s="27">
        <v>1.6519378016297531E-2</v>
      </c>
      <c r="C12" s="4">
        <v>80</v>
      </c>
      <c r="D12" s="28">
        <f t="shared" si="0"/>
        <v>80.000000000058179</v>
      </c>
      <c r="E12" s="29">
        <f>(1-$B$5)*SUMPRODUCT($G$19:G35,$H$19:H35)</f>
        <v>3.1608518079516527E-2</v>
      </c>
      <c r="F12" s="28">
        <f>SUMPRODUCT($B$19:B35,$F$19:F35,$H$19:H35)</f>
        <v>3.9510647599366924</v>
      </c>
      <c r="G12" s="28">
        <f t="shared" si="1"/>
        <v>-5.8179239204037003E-11</v>
      </c>
      <c r="H12" s="28">
        <f t="shared" si="2"/>
        <v>3.3848238743605562E-21</v>
      </c>
      <c r="I12" s="5"/>
      <c r="L12" s="50" t="s">
        <v>40</v>
      </c>
      <c r="M12" s="51"/>
      <c r="N12" s="51"/>
      <c r="O12" s="52"/>
    </row>
    <row r="13" spans="1:15" x14ac:dyDescent="0.3">
      <c r="A13" s="26" t="s">
        <v>9</v>
      </c>
      <c r="B13" s="27">
        <v>1.6434285997792453E-2</v>
      </c>
      <c r="C13" s="4">
        <v>83</v>
      </c>
      <c r="D13" s="28">
        <f t="shared" si="0"/>
        <v>82.999999999957396</v>
      </c>
      <c r="E13" s="29">
        <f>(1-$B$5)*SUMPRODUCT($G$19:G39,$H$19:H39)</f>
        <v>3.9630483103237572E-2</v>
      </c>
      <c r="F13" s="28">
        <f>SUMPRODUCT($B$19:B39,$F$19:F39,$H$19:H39)</f>
        <v>4.7747570003925199</v>
      </c>
      <c r="G13" s="28">
        <f t="shared" si="1"/>
        <v>4.2604142436175607E-11</v>
      </c>
      <c r="H13" s="28">
        <f t="shared" si="2"/>
        <v>1.8151129527219392E-21</v>
      </c>
      <c r="I13" s="5"/>
      <c r="L13" s="24" t="s">
        <v>3</v>
      </c>
      <c r="M13" s="45">
        <v>0</v>
      </c>
      <c r="N13" s="8">
        <v>-132204.75073775</v>
      </c>
      <c r="O13" s="45">
        <f>N13/$H$5-1</f>
        <v>9.3971474943055355E-3</v>
      </c>
    </row>
    <row r="14" spans="1:15" x14ac:dyDescent="0.3">
      <c r="A14" s="10"/>
      <c r="B14" s="10"/>
      <c r="C14" s="10"/>
      <c r="D14" s="10"/>
      <c r="E14" s="10"/>
      <c r="F14" s="12"/>
      <c r="G14" s="30" t="s">
        <v>38</v>
      </c>
      <c r="H14" s="31">
        <f>AVERAGE(H9:H13)</f>
        <v>1.0964078347312482E-19</v>
      </c>
      <c r="I14" s="5"/>
      <c r="L14" s="24" t="s">
        <v>3</v>
      </c>
      <c r="M14" s="45">
        <v>0.1</v>
      </c>
      <c r="N14" s="8">
        <v>-131998.5155907528</v>
      </c>
      <c r="O14" s="45">
        <f t="shared" ref="O14:O16" si="3">N14/$H$5-1</f>
        <v>7.8225205014752497E-3</v>
      </c>
    </row>
    <row r="15" spans="1:15" x14ac:dyDescent="0.3">
      <c r="A15" s="6" t="s">
        <v>17</v>
      </c>
      <c r="B15" s="43">
        <v>42998</v>
      </c>
      <c r="D15" s="3"/>
      <c r="E15" s="3"/>
      <c r="G15" s="10"/>
      <c r="H15" s="10"/>
      <c r="L15" s="24" t="s">
        <v>3</v>
      </c>
      <c r="M15" s="45">
        <v>0.2</v>
      </c>
      <c r="N15" s="8">
        <v>-131741.34513306312</v>
      </c>
      <c r="O15" s="45">
        <f t="shared" si="3"/>
        <v>5.858997065568694E-3</v>
      </c>
    </row>
    <row r="16" spans="1:15" x14ac:dyDescent="0.3">
      <c r="A16" s="1" t="s">
        <v>18</v>
      </c>
      <c r="B16" s="1" t="s">
        <v>20</v>
      </c>
      <c r="C16" s="13"/>
      <c r="D16" s="24" t="s">
        <v>22</v>
      </c>
      <c r="E16" s="24" t="s">
        <v>24</v>
      </c>
      <c r="F16" s="14"/>
      <c r="G16" s="3"/>
      <c r="H16" s="3"/>
      <c r="L16" s="24" t="s">
        <v>3</v>
      </c>
      <c r="M16" s="45">
        <v>0.3</v>
      </c>
      <c r="N16" s="8">
        <v>-131411.7119747742</v>
      </c>
      <c r="O16" s="45">
        <f t="shared" si="3"/>
        <v>3.3422133052301017E-3</v>
      </c>
    </row>
    <row r="17" spans="1:9" x14ac:dyDescent="0.3">
      <c r="A17" s="1" t="s">
        <v>19</v>
      </c>
      <c r="B17" s="1" t="s">
        <v>21</v>
      </c>
      <c r="C17" s="13"/>
      <c r="D17" s="24" t="s">
        <v>23</v>
      </c>
      <c r="E17" s="24" t="s">
        <v>25</v>
      </c>
      <c r="F17" s="24" t="s">
        <v>26</v>
      </c>
      <c r="G17" s="15" t="s">
        <v>27</v>
      </c>
      <c r="H17" s="1" t="s">
        <v>28</v>
      </c>
      <c r="I17" s="5"/>
    </row>
    <row r="18" spans="1:9" x14ac:dyDescent="0.3">
      <c r="A18" s="16">
        <f>B1+1</f>
        <v>43078</v>
      </c>
      <c r="B18" s="11"/>
      <c r="C18" s="5"/>
      <c r="D18" s="17"/>
      <c r="E18" s="11">
        <f>(A18-$A$18)*252/360</f>
        <v>0</v>
      </c>
      <c r="F18" s="24">
        <f>EXP(D19*E18)</f>
        <v>1</v>
      </c>
      <c r="G18" s="11"/>
      <c r="H18" s="11">
        <f>EXP(-E18*$B$4)</f>
        <v>1</v>
      </c>
      <c r="I18" s="5"/>
    </row>
    <row r="19" spans="1:9" x14ac:dyDescent="0.3">
      <c r="A19" s="16">
        <v>43089</v>
      </c>
      <c r="B19" s="18">
        <f>(A19-B15)/360</f>
        <v>0.25277777777777777</v>
      </c>
      <c r="C19" s="13"/>
      <c r="D19" s="19">
        <f>$B$9</f>
        <v>1.3369954678271602E-2</v>
      </c>
      <c r="E19" s="7">
        <f>(A19-$A$18)/365.242</f>
        <v>3.0117018305671307E-2</v>
      </c>
      <c r="F19" s="25">
        <f>EXP(-D19*E19)</f>
        <v>0.9995974178881426</v>
      </c>
      <c r="G19" s="7">
        <f>F18-F19</f>
        <v>4.025821118573969E-4</v>
      </c>
      <c r="H19" s="7">
        <f>EXP(-E19*$B$4)</f>
        <v>0.99909689749358654</v>
      </c>
      <c r="I19" s="5"/>
    </row>
    <row r="20" spans="1:9" x14ac:dyDescent="0.3">
      <c r="A20" s="16">
        <v>43179</v>
      </c>
      <c r="B20" s="18">
        <f>(A20-A19)/360</f>
        <v>0.25</v>
      </c>
      <c r="C20" s="13"/>
      <c r="D20" s="19">
        <f t="shared" ref="D20:D23" si="4">$B$9</f>
        <v>1.3369954678271602E-2</v>
      </c>
      <c r="E20" s="7">
        <f t="shared" ref="E20:E39" si="5">(A20-$A$18)/365.242</f>
        <v>0.27652898626116379</v>
      </c>
      <c r="F20" s="25">
        <f t="shared" ref="F20:F23" si="6">EXP(-D20*E20)</f>
        <v>0.99630964614138706</v>
      </c>
      <c r="G20" s="7">
        <f t="shared" ref="G20:G39" si="7">F19-F20</f>
        <v>3.2877717467555412E-3</v>
      </c>
      <c r="H20" s="7">
        <f t="shared" ref="H20:H39" si="8">EXP(-E20*$B$4)</f>
        <v>0.99173844617966489</v>
      </c>
      <c r="I20" s="5"/>
    </row>
    <row r="21" spans="1:9" x14ac:dyDescent="0.3">
      <c r="A21" s="16">
        <v>43271</v>
      </c>
      <c r="B21" s="18">
        <f t="shared" ref="B21:B39" si="9">(A21-A20)/360</f>
        <v>0.25555555555555554</v>
      </c>
      <c r="C21" s="13"/>
      <c r="D21" s="19">
        <f t="shared" si="4"/>
        <v>1.3369954678271602E-2</v>
      </c>
      <c r="E21" s="7">
        <f t="shared" si="5"/>
        <v>0.52841677572677836</v>
      </c>
      <c r="F21" s="25">
        <f t="shared" si="6"/>
        <v>0.99295998945418518</v>
      </c>
      <c r="G21" s="7">
        <f t="shared" si="7"/>
        <v>3.3496566872018851E-3</v>
      </c>
      <c r="H21" s="7">
        <f t="shared" si="8"/>
        <v>0.98427248632063358</v>
      </c>
      <c r="I21" s="5"/>
    </row>
    <row r="22" spans="1:9" x14ac:dyDescent="0.3">
      <c r="A22" s="16">
        <v>43363</v>
      </c>
      <c r="B22" s="18">
        <f t="shared" si="9"/>
        <v>0.25555555555555554</v>
      </c>
      <c r="C22" s="13"/>
      <c r="D22" s="19">
        <f t="shared" si="4"/>
        <v>1.3369954678271602E-2</v>
      </c>
      <c r="E22" s="7">
        <f t="shared" si="5"/>
        <v>0.780304565192393</v>
      </c>
      <c r="F22" s="25">
        <f t="shared" si="6"/>
        <v>0.98962159452678422</v>
      </c>
      <c r="G22" s="7">
        <f t="shared" si="7"/>
        <v>3.3383949274009561E-3</v>
      </c>
      <c r="H22" s="7">
        <f t="shared" si="8"/>
        <v>0.97686273135799551</v>
      </c>
      <c r="I22" s="5"/>
    </row>
    <row r="23" spans="1:9" x14ac:dyDescent="0.3">
      <c r="A23" s="16">
        <v>43454</v>
      </c>
      <c r="B23" s="18">
        <f t="shared" si="9"/>
        <v>0.25277777777777777</v>
      </c>
      <c r="C23" s="13"/>
      <c r="D23" s="19">
        <f t="shared" si="4"/>
        <v>1.3369954678271602E-2</v>
      </c>
      <c r="E23" s="7">
        <f t="shared" si="5"/>
        <v>1.0294544439029465</v>
      </c>
      <c r="F23" s="25">
        <f t="shared" si="6"/>
        <v>0.98633052819714495</v>
      </c>
      <c r="G23" s="7">
        <f t="shared" si="7"/>
        <v>3.2910663296392695E-3</v>
      </c>
      <c r="H23" s="7">
        <f t="shared" si="8"/>
        <v>0.96958839429681698</v>
      </c>
      <c r="I23" s="5"/>
    </row>
    <row r="24" spans="1:9" x14ac:dyDescent="0.3">
      <c r="A24" s="16">
        <v>43544</v>
      </c>
      <c r="B24" s="18">
        <f t="shared" si="9"/>
        <v>0.25</v>
      </c>
      <c r="C24" s="13"/>
      <c r="D24" s="20">
        <f>$B$10</f>
        <v>1.2534599951423994E-2</v>
      </c>
      <c r="E24" s="7">
        <f t="shared" si="5"/>
        <v>1.2758664118584391</v>
      </c>
      <c r="F24" s="25">
        <f>EXP(-$D$23*$E$23-(E24-$E$23)*D24)</f>
        <v>0.98328877323253916</v>
      </c>
      <c r="G24" s="7">
        <f t="shared" si="7"/>
        <v>3.0417549646057918E-3</v>
      </c>
      <c r="H24" s="7">
        <f t="shared" si="8"/>
        <v>0.96244727614113534</v>
      </c>
      <c r="I24" s="5"/>
    </row>
    <row r="25" spans="1:9" x14ac:dyDescent="0.3">
      <c r="A25" s="16">
        <v>43636</v>
      </c>
      <c r="B25" s="18">
        <f t="shared" si="9"/>
        <v>0.25555555555555554</v>
      </c>
      <c r="C25" s="13"/>
      <c r="D25" s="20">
        <f t="shared" ref="D25:D27" si="10">$B$10</f>
        <v>1.2534599951423994E-2</v>
      </c>
      <c r="E25" s="7">
        <f t="shared" si="5"/>
        <v>1.5277542013240535</v>
      </c>
      <c r="F25" s="25">
        <f t="shared" ref="F25:F27" si="11">EXP(-$D$23*$E$23-(E25-$E$23)*D25)</f>
        <v>0.98018911899075412</v>
      </c>
      <c r="G25" s="7">
        <f t="shared" si="7"/>
        <v>3.0996542417850437E-3</v>
      </c>
      <c r="H25" s="7">
        <f t="shared" si="8"/>
        <v>0.95520182472419801</v>
      </c>
      <c r="I25" s="5"/>
    </row>
    <row r="26" spans="1:9" x14ac:dyDescent="0.3">
      <c r="A26" s="16">
        <v>43728</v>
      </c>
      <c r="B26" s="18">
        <f t="shared" si="9"/>
        <v>0.25555555555555554</v>
      </c>
      <c r="C26" s="13"/>
      <c r="D26" s="20">
        <f t="shared" si="10"/>
        <v>1.2534599951423994E-2</v>
      </c>
      <c r="E26" s="7">
        <f t="shared" si="5"/>
        <v>1.7796419907896681</v>
      </c>
      <c r="F26" s="25">
        <f t="shared" si="11"/>
        <v>0.97709923589319481</v>
      </c>
      <c r="G26" s="7">
        <f t="shared" si="7"/>
        <v>3.0898830975593095E-3</v>
      </c>
      <c r="H26" s="7">
        <f t="shared" si="8"/>
        <v>0.94801091818211936</v>
      </c>
      <c r="I26" s="5"/>
    </row>
    <row r="27" spans="1:9" x14ac:dyDescent="0.3">
      <c r="A27" s="16">
        <v>43819</v>
      </c>
      <c r="B27" s="18">
        <f t="shared" si="9"/>
        <v>0.25277777777777777</v>
      </c>
      <c r="C27" s="13"/>
      <c r="D27" s="20">
        <f t="shared" si="10"/>
        <v>1.2534599951423994E-2</v>
      </c>
      <c r="E27" s="7">
        <f t="shared" si="5"/>
        <v>2.0287918695002216</v>
      </c>
      <c r="F27" s="25">
        <f t="shared" si="11"/>
        <v>0.97405252069879611</v>
      </c>
      <c r="G27" s="7">
        <f t="shared" si="7"/>
        <v>3.046715194398697E-3</v>
      </c>
      <c r="H27" s="7">
        <f t="shared" si="8"/>
        <v>0.94095142994988079</v>
      </c>
      <c r="I27" s="5"/>
    </row>
    <row r="28" spans="1:9" x14ac:dyDescent="0.3">
      <c r="A28" s="16">
        <v>43910</v>
      </c>
      <c r="B28" s="18">
        <f t="shared" si="9"/>
        <v>0.25277777777777777</v>
      </c>
      <c r="C28" s="13"/>
      <c r="D28" s="21">
        <f>$B$11</f>
        <v>1.5097385707745506E-2</v>
      </c>
      <c r="E28" s="7">
        <f t="shared" si="5"/>
        <v>2.2779417482107753</v>
      </c>
      <c r="F28" s="25">
        <f>EXP(-$D$23*$E$23-($E$27-$E$23)*$D$27-(E28-$E$27)*D28)</f>
        <v>0.97039549291943783</v>
      </c>
      <c r="G28" s="7">
        <f t="shared" si="7"/>
        <v>3.6570277793582795E-3</v>
      </c>
      <c r="H28" s="7">
        <f t="shared" si="8"/>
        <v>0.93394451112707133</v>
      </c>
      <c r="I28" s="5"/>
    </row>
    <row r="29" spans="1:9" x14ac:dyDescent="0.3">
      <c r="A29" s="16">
        <v>44002</v>
      </c>
      <c r="B29" s="18">
        <f t="shared" si="9"/>
        <v>0.25555555555555554</v>
      </c>
      <c r="C29" s="13"/>
      <c r="D29" s="21">
        <f t="shared" ref="D29:D31" si="12">$B$11</f>
        <v>1.5097385707745506E-2</v>
      </c>
      <c r="E29" s="7">
        <f t="shared" si="5"/>
        <v>2.52982953767639</v>
      </c>
      <c r="F29" s="25">
        <f t="shared" ref="F29:F31" si="13">EXP(-$D$23*$E$23-($E$27-$E$23)*$D$27-(E29-$E$27)*D29)</f>
        <v>0.96671223509310122</v>
      </c>
      <c r="G29" s="7">
        <f t="shared" si="7"/>
        <v>3.6832578263366056E-3</v>
      </c>
      <c r="H29" s="7">
        <f t="shared" si="8"/>
        <v>0.92691363291770312</v>
      </c>
      <c r="I29" s="5"/>
    </row>
    <row r="30" spans="1:9" x14ac:dyDescent="0.3">
      <c r="A30" s="16">
        <v>44094</v>
      </c>
      <c r="B30" s="18">
        <f t="shared" si="9"/>
        <v>0.25555555555555554</v>
      </c>
      <c r="C30" s="13"/>
      <c r="D30" s="21">
        <f t="shared" si="12"/>
        <v>1.5097385707745506E-2</v>
      </c>
      <c r="E30" s="7">
        <f t="shared" si="5"/>
        <v>2.7817173271420041</v>
      </c>
      <c r="F30" s="25">
        <f t="shared" si="13"/>
        <v>0.96304295753389713</v>
      </c>
      <c r="G30" s="7">
        <f t="shared" si="7"/>
        <v>3.6692775592040983E-3</v>
      </c>
      <c r="H30" s="7">
        <f t="shared" si="8"/>
        <v>0.9199356842430193</v>
      </c>
      <c r="I30" s="5"/>
    </row>
    <row r="31" spans="1:9" x14ac:dyDescent="0.3">
      <c r="A31" s="16">
        <v>44185</v>
      </c>
      <c r="B31" s="18">
        <f t="shared" si="9"/>
        <v>0.25277777777777777</v>
      </c>
      <c r="C31" s="13"/>
      <c r="D31" s="21">
        <f t="shared" si="12"/>
        <v>1.5097385707745506E-2</v>
      </c>
      <c r="E31" s="7">
        <f t="shared" si="5"/>
        <v>3.0308672058525579</v>
      </c>
      <c r="F31" s="25">
        <f t="shared" si="13"/>
        <v>0.95942726456706395</v>
      </c>
      <c r="G31" s="7">
        <f t="shared" si="7"/>
        <v>3.6156929668331728E-3</v>
      </c>
      <c r="H31" s="7">
        <f t="shared" si="8"/>
        <v>0.91308526194009565</v>
      </c>
      <c r="I31" s="5"/>
    </row>
    <row r="32" spans="1:9" x14ac:dyDescent="0.3">
      <c r="A32" s="16">
        <v>44275</v>
      </c>
      <c r="B32" s="18">
        <f t="shared" si="9"/>
        <v>0.25</v>
      </c>
      <c r="C32" s="13"/>
      <c r="D32" s="22">
        <f>$B$12</f>
        <v>1.6519378016297531E-2</v>
      </c>
      <c r="E32" s="7">
        <f t="shared" si="5"/>
        <v>3.2772791738080502</v>
      </c>
      <c r="F32" s="25">
        <f>EXP(-$D$23*$E$23-($E$27-$E$23)*$D$27-($E$31-$E$27)*$D$31-(E32-$E$31)*D32)</f>
        <v>0.95552978424921808</v>
      </c>
      <c r="G32" s="7">
        <f t="shared" si="7"/>
        <v>3.8974803178458695E-3</v>
      </c>
      <c r="H32" s="7">
        <f t="shared" si="8"/>
        <v>0.9063602951602957</v>
      </c>
      <c r="I32" s="5"/>
    </row>
    <row r="33" spans="1:9" x14ac:dyDescent="0.3">
      <c r="A33" s="16">
        <v>44367</v>
      </c>
      <c r="B33" s="18">
        <f t="shared" si="9"/>
        <v>0.25555555555555554</v>
      </c>
      <c r="C33" s="13"/>
      <c r="D33" s="22">
        <f t="shared" ref="D33:D35" si="14">$B$12</f>
        <v>1.6519378016297531E-2</v>
      </c>
      <c r="E33" s="7">
        <f t="shared" si="5"/>
        <v>3.5291669632736649</v>
      </c>
      <c r="F33" s="25">
        <f t="shared" ref="F33:F35" si="15">EXP(-$D$23*$E$23-($E$27-$E$23)*$D$27-($E$31-$E$27)*$D$31-(E33-$E$31)*D33)</f>
        <v>0.9515620571617055</v>
      </c>
      <c r="G33" s="7">
        <f t="shared" si="7"/>
        <v>3.9677270875125847E-3</v>
      </c>
      <c r="H33" s="7">
        <f t="shared" si="8"/>
        <v>0.8995370751797116</v>
      </c>
      <c r="I33" s="5"/>
    </row>
    <row r="34" spans="1:9" x14ac:dyDescent="0.3">
      <c r="A34" s="16">
        <v>44459</v>
      </c>
      <c r="B34" s="18">
        <f t="shared" si="9"/>
        <v>0.25555555555555554</v>
      </c>
      <c r="C34" s="13"/>
      <c r="D34" s="22">
        <f t="shared" si="14"/>
        <v>1.6519378016297531E-2</v>
      </c>
      <c r="E34" s="7">
        <f t="shared" si="5"/>
        <v>3.7810547527392795</v>
      </c>
      <c r="F34" s="25">
        <f t="shared" si="15"/>
        <v>0.94761080560274302</v>
      </c>
      <c r="G34" s="7">
        <f t="shared" si="7"/>
        <v>3.9512515589624764E-3</v>
      </c>
      <c r="H34" s="7">
        <f t="shared" si="8"/>
        <v>0.8927652214506635</v>
      </c>
      <c r="I34" s="5"/>
    </row>
    <row r="35" spans="1:9" x14ac:dyDescent="0.3">
      <c r="A35" s="16">
        <v>44550</v>
      </c>
      <c r="B35" s="18">
        <f t="shared" si="9"/>
        <v>0.25277777777777777</v>
      </c>
      <c r="C35" s="13"/>
      <c r="D35" s="22">
        <f t="shared" si="14"/>
        <v>1.6519378016297531E-2</v>
      </c>
      <c r="E35" s="7">
        <f t="shared" si="5"/>
        <v>4.0302046314498332</v>
      </c>
      <c r="F35" s="25">
        <f t="shared" si="15"/>
        <v>0.94371864325110599</v>
      </c>
      <c r="G35" s="7">
        <f t="shared" si="7"/>
        <v>3.8921623516370296E-3</v>
      </c>
      <c r="H35" s="7">
        <f t="shared" si="8"/>
        <v>0.8861171275794788</v>
      </c>
      <c r="I35" s="5"/>
    </row>
    <row r="36" spans="1:9" x14ac:dyDescent="0.3">
      <c r="A36" s="16">
        <v>44640</v>
      </c>
      <c r="B36" s="18">
        <f t="shared" si="9"/>
        <v>0.25</v>
      </c>
      <c r="C36" s="13"/>
      <c r="D36" s="23">
        <f>$B$13</f>
        <v>1.6434285997792453E-2</v>
      </c>
      <c r="E36" s="7">
        <f t="shared" si="5"/>
        <v>4.2766165994053251</v>
      </c>
      <c r="F36" s="25">
        <f>EXP(-$D$23*$E$23-($E$27-$E$23)*$D$27-($E$31-$E$27)*$D$31-($E$35-$E$31)*$D$35-(E36-$E$35)*D36)</f>
        <v>0.93990468347334799</v>
      </c>
      <c r="G36" s="7">
        <f t="shared" si="7"/>
        <v>3.8139597777580025E-3</v>
      </c>
      <c r="H36" s="7">
        <f t="shared" si="8"/>
        <v>0.87959078388040079</v>
      </c>
      <c r="I36" s="5"/>
    </row>
    <row r="37" spans="1:9" x14ac:dyDescent="0.3">
      <c r="A37" s="16">
        <v>44732</v>
      </c>
      <c r="B37" s="18">
        <f t="shared" si="9"/>
        <v>0.25555555555555554</v>
      </c>
      <c r="C37" s="13"/>
      <c r="D37" s="23">
        <f t="shared" ref="D37:D39" si="16">$B$13</f>
        <v>1.6434285997792453E-2</v>
      </c>
      <c r="E37" s="7">
        <f t="shared" si="5"/>
        <v>4.5285043888709398</v>
      </c>
      <c r="F37" s="25">
        <f t="shared" ref="F37:F39" si="17">EXP(-$D$23*$E$23-($E$27-$E$23)*$D$27-($E$31-$E$27)*$D$31-($E$35-$E$31)*$D$35-(E37-$E$35)*D37)</f>
        <v>0.93602189995431628</v>
      </c>
      <c r="G37" s="7">
        <f t="shared" si="7"/>
        <v>3.8827835190317073E-3</v>
      </c>
      <c r="H37" s="7">
        <f t="shared" si="8"/>
        <v>0.87296908890616431</v>
      </c>
      <c r="I37" s="5"/>
    </row>
    <row r="38" spans="1:9" x14ac:dyDescent="0.3">
      <c r="A38" s="16">
        <v>44824</v>
      </c>
      <c r="B38" s="18">
        <f t="shared" si="9"/>
        <v>0.25555555555555554</v>
      </c>
      <c r="C38" s="13"/>
      <c r="D38" s="23">
        <f t="shared" si="16"/>
        <v>1.6434285997792453E-2</v>
      </c>
      <c r="E38" s="7">
        <f t="shared" si="5"/>
        <v>4.7803921783365544</v>
      </c>
      <c r="F38" s="25">
        <f t="shared" si="17"/>
        <v>0.93215515636797208</v>
      </c>
      <c r="G38" s="7">
        <f t="shared" si="7"/>
        <v>3.8667435863442012E-3</v>
      </c>
      <c r="H38" s="7">
        <f t="shared" si="8"/>
        <v>0.86639724307215926</v>
      </c>
      <c r="I38" s="5"/>
    </row>
    <row r="39" spans="1:9" x14ac:dyDescent="0.3">
      <c r="A39" s="16">
        <v>44915</v>
      </c>
      <c r="B39" s="18">
        <f t="shared" si="9"/>
        <v>0.25277777777777777</v>
      </c>
      <c r="C39" s="13"/>
      <c r="D39" s="23">
        <f t="shared" si="16"/>
        <v>1.6434285997792453E-2</v>
      </c>
      <c r="E39" s="7">
        <f t="shared" si="5"/>
        <v>5.0295420570471085</v>
      </c>
      <c r="F39" s="25">
        <f t="shared" si="17"/>
        <v>0.92834615701309142</v>
      </c>
      <c r="G39" s="7">
        <f t="shared" si="7"/>
        <v>3.80899935488066E-3</v>
      </c>
      <c r="H39" s="7">
        <f t="shared" si="8"/>
        <v>0.85994550182677321</v>
      </c>
      <c r="I39" s="5"/>
    </row>
    <row r="40" spans="1:9" x14ac:dyDescent="0.3">
      <c r="A40" s="10"/>
      <c r="B40" s="10"/>
      <c r="D40" s="10"/>
      <c r="E40" s="10"/>
      <c r="F40" s="10"/>
      <c r="G40" s="10"/>
      <c r="H40" s="10"/>
    </row>
  </sheetData>
  <mergeCells count="2">
    <mergeCell ref="L6:M7"/>
    <mergeCell ref="L12:O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ibrate">
                <anchor moveWithCells="1" sizeWithCells="1">
                  <from>
                    <xdr:col>2</xdr:col>
                    <xdr:colOff>243840</xdr:colOff>
                    <xdr:row>1</xdr:row>
                    <xdr:rowOff>53340</xdr:rowOff>
                  </from>
                  <to>
                    <xdr:col>3</xdr:col>
                    <xdr:colOff>1143000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284D8-43EE-483A-8FC3-D2520D7FD883}">
  <sheetPr codeName="Sheet3"/>
  <dimension ref="A1:O40"/>
  <sheetViews>
    <sheetView tabSelected="1" zoomScale="63" zoomScaleNormal="63" workbookViewId="0">
      <selection activeCell="O35" sqref="O35"/>
    </sheetView>
  </sheetViews>
  <sheetFormatPr defaultRowHeight="14.4" x14ac:dyDescent="0.3"/>
  <cols>
    <col min="1" max="1" width="21.109375" style="2" bestFit="1" customWidth="1"/>
    <col min="2" max="2" width="20.21875" style="2" customWidth="1"/>
    <col min="3" max="3" width="10.5546875" style="2" customWidth="1"/>
    <col min="4" max="4" width="23.5546875" style="2" bestFit="1" customWidth="1"/>
    <col min="5" max="5" width="20.21875" style="2" customWidth="1"/>
    <col min="6" max="6" width="17.21875" style="2" customWidth="1"/>
    <col min="7" max="7" width="20.21875" style="2" customWidth="1"/>
    <col min="8" max="8" width="18.44140625" style="2" customWidth="1"/>
    <col min="9" max="11" width="8.88671875" style="2"/>
    <col min="12" max="12" width="23.88671875" style="2" bestFit="1" customWidth="1"/>
    <col min="13" max="13" width="11.21875" style="2" bestFit="1" customWidth="1"/>
    <col min="14" max="16384" width="8.88671875" style="2"/>
  </cols>
  <sheetData>
    <row r="1" spans="1:15" x14ac:dyDescent="0.3">
      <c r="A1" s="32" t="s">
        <v>0</v>
      </c>
      <c r="B1" s="33">
        <v>43077</v>
      </c>
      <c r="C1" s="34"/>
      <c r="D1" s="34"/>
      <c r="E1" s="6" t="s">
        <v>40</v>
      </c>
      <c r="F1" s="35"/>
      <c r="G1" s="35"/>
      <c r="H1" s="35"/>
    </row>
    <row r="2" spans="1:15" x14ac:dyDescent="0.3">
      <c r="A2" s="34"/>
      <c r="B2" s="34"/>
      <c r="C2" s="34"/>
      <c r="D2" s="36"/>
      <c r="E2" s="24" t="s">
        <v>33</v>
      </c>
      <c r="F2" s="37" t="s">
        <v>34</v>
      </c>
      <c r="G2" s="24" t="s">
        <v>29</v>
      </c>
      <c r="H2" s="29">
        <f>M8</f>
        <v>2.7422647061826521E-2</v>
      </c>
      <c r="I2" s="5"/>
    </row>
    <row r="3" spans="1:15" x14ac:dyDescent="0.3">
      <c r="A3" s="6" t="s">
        <v>1</v>
      </c>
      <c r="B3" s="35"/>
      <c r="C3" s="34"/>
      <c r="D3" s="36"/>
      <c r="E3" s="24" t="s">
        <v>35</v>
      </c>
      <c r="F3" s="38">
        <f>A33</f>
        <v>44367</v>
      </c>
      <c r="G3" s="24" t="s">
        <v>30</v>
      </c>
      <c r="H3" s="28">
        <f>M9</f>
        <v>3.5234820839226004</v>
      </c>
      <c r="I3" s="5"/>
    </row>
    <row r="4" spans="1:15" x14ac:dyDescent="0.3">
      <c r="A4" s="24" t="s">
        <v>2</v>
      </c>
      <c r="B4" s="39">
        <v>0.03</v>
      </c>
      <c r="C4" s="40"/>
      <c r="D4" s="36"/>
      <c r="E4" s="24" t="s">
        <v>36</v>
      </c>
      <c r="F4" s="37">
        <v>115</v>
      </c>
      <c r="G4" s="24" t="s">
        <v>31</v>
      </c>
      <c r="H4" s="28">
        <f>H2*10000/H3</f>
        <v>77.828257413182598</v>
      </c>
      <c r="I4" s="5"/>
    </row>
    <row r="5" spans="1:15" x14ac:dyDescent="0.3">
      <c r="A5" s="24" t="s">
        <v>3</v>
      </c>
      <c r="B5" s="41">
        <v>0.4</v>
      </c>
      <c r="C5" s="40"/>
      <c r="D5" s="36"/>
      <c r="E5" s="24" t="s">
        <v>37</v>
      </c>
      <c r="F5" s="42">
        <v>10000000</v>
      </c>
      <c r="G5" s="24" t="s">
        <v>32</v>
      </c>
      <c r="H5" s="8">
        <f>IF(F2="L",1,-1)*((H4-F4)*F5/10000)*H3</f>
        <v>-130973.96903283386</v>
      </c>
      <c r="I5" s="5"/>
    </row>
    <row r="6" spans="1:15" x14ac:dyDescent="0.3">
      <c r="A6" s="9"/>
      <c r="B6" s="10"/>
      <c r="E6" s="10"/>
      <c r="F6" s="10"/>
      <c r="G6" s="10"/>
      <c r="H6" s="10"/>
      <c r="L6" s="46" t="s">
        <v>41</v>
      </c>
      <c r="M6" s="47"/>
    </row>
    <row r="7" spans="1:15" x14ac:dyDescent="0.3">
      <c r="A7" s="6" t="s">
        <v>39</v>
      </c>
      <c r="B7" s="3"/>
      <c r="C7" s="3"/>
      <c r="D7" s="3"/>
      <c r="E7" s="3"/>
      <c r="F7" s="3"/>
      <c r="G7" s="3"/>
      <c r="H7" s="3"/>
      <c r="L7" s="48"/>
      <c r="M7" s="49"/>
    </row>
    <row r="8" spans="1:15" x14ac:dyDescent="0.3">
      <c r="A8" s="1" t="s">
        <v>4</v>
      </c>
      <c r="B8" s="1" t="s">
        <v>10</v>
      </c>
      <c r="C8" s="1" t="s">
        <v>11</v>
      </c>
      <c r="D8" s="1" t="s">
        <v>16</v>
      </c>
      <c r="E8" s="1" t="s">
        <v>12</v>
      </c>
      <c r="F8" s="1" t="s">
        <v>13</v>
      </c>
      <c r="G8" s="1" t="s">
        <v>14</v>
      </c>
      <c r="H8" s="1" t="s">
        <v>15</v>
      </c>
      <c r="I8" s="5"/>
      <c r="L8" s="1" t="s">
        <v>12</v>
      </c>
      <c r="M8" s="29">
        <f>(1-$B$5)*SUMPRODUCT($G$19:G33,$H$19:H33)</f>
        <v>2.7422647061826521E-2</v>
      </c>
    </row>
    <row r="9" spans="1:15" x14ac:dyDescent="0.3">
      <c r="A9" s="26" t="s">
        <v>5</v>
      </c>
      <c r="B9" s="27">
        <v>1.3369954678271602E-2</v>
      </c>
      <c r="C9" s="4">
        <v>65</v>
      </c>
      <c r="D9" s="28">
        <f>E9*10000/F9</f>
        <v>64.999999999649987</v>
      </c>
      <c r="E9" s="29">
        <f>(1-$B$5)*SUMPRODUCT($G$19:G23,$H$19:H23)</f>
        <v>8.047161842105072E-3</v>
      </c>
      <c r="F9" s="28">
        <f>SUMPRODUCT($B$19:B23,$F$19:F23,$H$19:H23)</f>
        <v>1.2380248987920623</v>
      </c>
      <c r="G9" s="28">
        <f>C9-D9</f>
        <v>3.5001335163542535E-10</v>
      </c>
      <c r="H9" s="28">
        <f>G9^2</f>
        <v>1.2250934632306391E-19</v>
      </c>
      <c r="I9" s="5"/>
      <c r="L9" s="1" t="s">
        <v>13</v>
      </c>
      <c r="M9" s="28">
        <f>SUMPRODUCT($B$19:B33,$F$19:F33,$H$19:H33)</f>
        <v>3.5234820839226004</v>
      </c>
    </row>
    <row r="10" spans="1:15" x14ac:dyDescent="0.3">
      <c r="A10" s="26" t="s">
        <v>6</v>
      </c>
      <c r="B10" s="27">
        <v>1.2534599951423994E-2</v>
      </c>
      <c r="C10" s="4">
        <v>69</v>
      </c>
      <c r="D10" s="28">
        <f t="shared" ref="D10:D13" si="0">E10*10000/F10</f>
        <v>68.999999999444356</v>
      </c>
      <c r="E10" s="29">
        <f>(1-$B$5)*SUMPRODUCT($G$19:G27,$H$19:H27)</f>
        <v>1.5057788701716805E-2</v>
      </c>
      <c r="F10" s="28">
        <f>SUMPRODUCT($B$19:B27,$F$19:F27,$H$19:H27)</f>
        <v>2.1822882176576903</v>
      </c>
      <c r="G10" s="28">
        <f t="shared" ref="G10:G13" si="1">C10-D10</f>
        <v>5.5564441936439835E-10</v>
      </c>
      <c r="H10" s="28">
        <f t="shared" ref="H10:H13" si="2">G10^2</f>
        <v>3.0874072077079937E-19</v>
      </c>
      <c r="I10" s="5"/>
      <c r="L10" s="1" t="s">
        <v>16</v>
      </c>
      <c r="M10" s="44">
        <f>M8*10000/M9</f>
        <v>77.828257413182598</v>
      </c>
    </row>
    <row r="11" spans="1:15" x14ac:dyDescent="0.3">
      <c r="A11" s="26" t="s">
        <v>7</v>
      </c>
      <c r="B11" s="27">
        <v>1.5097385707745506E-2</v>
      </c>
      <c r="C11" s="4">
        <v>75</v>
      </c>
      <c r="D11" s="28">
        <f t="shared" si="0"/>
        <v>75.000000000334296</v>
      </c>
      <c r="E11" s="29">
        <f>(1-$B$5)*SUMPRODUCT($G$19:G31,$H$19:H31)</f>
        <v>2.3161663643420555E-2</v>
      </c>
      <c r="F11" s="28">
        <f>SUMPRODUCT($B$19:B31,$F$19:F31,$H$19:H31)</f>
        <v>3.0882218191089756</v>
      </c>
      <c r="G11" s="28">
        <f t="shared" si="1"/>
        <v>-3.3429614632041194E-10</v>
      </c>
      <c r="H11" s="28">
        <f t="shared" si="2"/>
        <v>1.1175391344467827E-19</v>
      </c>
      <c r="I11" s="5"/>
    </row>
    <row r="12" spans="1:15" x14ac:dyDescent="0.3">
      <c r="A12" s="26" t="s">
        <v>8</v>
      </c>
      <c r="B12" s="27">
        <v>1.6519378016297531E-2</v>
      </c>
      <c r="C12" s="4">
        <v>80</v>
      </c>
      <c r="D12" s="28">
        <f t="shared" si="0"/>
        <v>80.000000000058179</v>
      </c>
      <c r="E12" s="29">
        <f>(1-$B$5)*SUMPRODUCT($G$19:G35,$H$19:H35)</f>
        <v>3.1608518079516527E-2</v>
      </c>
      <c r="F12" s="28">
        <f>SUMPRODUCT($B$19:B35,$F$19:F35,$H$19:H35)</f>
        <v>3.9510647599366924</v>
      </c>
      <c r="G12" s="28">
        <f t="shared" si="1"/>
        <v>-5.8179239204037003E-11</v>
      </c>
      <c r="H12" s="28">
        <f t="shared" si="2"/>
        <v>3.3848238743605562E-21</v>
      </c>
      <c r="I12" s="5"/>
      <c r="L12" s="50" t="s">
        <v>40</v>
      </c>
      <c r="M12" s="51"/>
      <c r="N12" s="51"/>
      <c r="O12" s="52"/>
    </row>
    <row r="13" spans="1:15" x14ac:dyDescent="0.3">
      <c r="A13" s="26" t="s">
        <v>9</v>
      </c>
      <c r="B13" s="27">
        <v>1.6434285997792453E-2</v>
      </c>
      <c r="C13" s="4">
        <v>83</v>
      </c>
      <c r="D13" s="28">
        <f t="shared" si="0"/>
        <v>82.999999999957396</v>
      </c>
      <c r="E13" s="29">
        <f>(1-$B$5)*SUMPRODUCT($G$19:G39,$H$19:H39)</f>
        <v>3.9630483103237572E-2</v>
      </c>
      <c r="F13" s="28">
        <f>SUMPRODUCT($B$19:B39,$F$19:F39,$H$19:H39)</f>
        <v>4.7747570003925199</v>
      </c>
      <c r="G13" s="28">
        <f t="shared" si="1"/>
        <v>4.2604142436175607E-11</v>
      </c>
      <c r="H13" s="28">
        <f t="shared" si="2"/>
        <v>1.8151129527219392E-21</v>
      </c>
      <c r="I13" s="5"/>
      <c r="L13" s="24" t="s">
        <v>3</v>
      </c>
      <c r="M13" s="45">
        <v>0</v>
      </c>
      <c r="N13" s="8">
        <v>-132204.75073775</v>
      </c>
      <c r="O13" s="45">
        <f>N13/$H$5-1</f>
        <v>9.3971474943055355E-3</v>
      </c>
    </row>
    <row r="14" spans="1:15" x14ac:dyDescent="0.3">
      <c r="A14" s="10"/>
      <c r="B14" s="10"/>
      <c r="C14" s="10"/>
      <c r="D14" s="10"/>
      <c r="E14" s="10"/>
      <c r="F14" s="12"/>
      <c r="G14" s="30" t="s">
        <v>38</v>
      </c>
      <c r="H14" s="31">
        <f>AVERAGE(H9:H13)</f>
        <v>1.0964078347312482E-19</v>
      </c>
      <c r="I14" s="5"/>
      <c r="L14" s="24" t="s">
        <v>3</v>
      </c>
      <c r="M14" s="45">
        <v>0.1</v>
      </c>
      <c r="N14" s="8">
        <v>-131998.5155907528</v>
      </c>
      <c r="O14" s="45">
        <f t="shared" ref="O14:O16" si="3">N14/$H$5-1</f>
        <v>7.8225205014752497E-3</v>
      </c>
    </row>
    <row r="15" spans="1:15" x14ac:dyDescent="0.3">
      <c r="A15" s="6" t="s">
        <v>17</v>
      </c>
      <c r="B15" s="43">
        <v>42998</v>
      </c>
      <c r="D15" s="3"/>
      <c r="E15" s="3"/>
      <c r="G15" s="10"/>
      <c r="H15" s="10"/>
      <c r="L15" s="24" t="s">
        <v>3</v>
      </c>
      <c r="M15" s="45">
        <v>0.2</v>
      </c>
      <c r="N15" s="8">
        <v>-131741.34513306312</v>
      </c>
      <c r="O15" s="45">
        <f t="shared" si="3"/>
        <v>5.858997065568694E-3</v>
      </c>
    </row>
    <row r="16" spans="1:15" x14ac:dyDescent="0.3">
      <c r="A16" s="1" t="s">
        <v>18</v>
      </c>
      <c r="B16" s="1" t="s">
        <v>20</v>
      </c>
      <c r="C16" s="13"/>
      <c r="D16" s="24" t="s">
        <v>22</v>
      </c>
      <c r="E16" s="24" t="s">
        <v>24</v>
      </c>
      <c r="F16" s="14"/>
      <c r="G16" s="3"/>
      <c r="H16" s="3"/>
      <c r="L16" s="24" t="s">
        <v>3</v>
      </c>
      <c r="M16" s="45">
        <v>0.3</v>
      </c>
      <c r="N16" s="8">
        <v>-131411.7119747742</v>
      </c>
      <c r="O16" s="45">
        <f t="shared" si="3"/>
        <v>3.3422133052301017E-3</v>
      </c>
    </row>
    <row r="17" spans="1:9" x14ac:dyDescent="0.3">
      <c r="A17" s="1" t="s">
        <v>19</v>
      </c>
      <c r="B17" s="1" t="s">
        <v>21</v>
      </c>
      <c r="C17" s="13"/>
      <c r="D17" s="24" t="s">
        <v>23</v>
      </c>
      <c r="E17" s="24" t="s">
        <v>25</v>
      </c>
      <c r="F17" s="24" t="s">
        <v>26</v>
      </c>
      <c r="G17" s="15" t="s">
        <v>27</v>
      </c>
      <c r="H17" s="1" t="s">
        <v>28</v>
      </c>
      <c r="I17" s="5"/>
    </row>
    <row r="18" spans="1:9" x14ac:dyDescent="0.3">
      <c r="A18" s="16">
        <f>B1+1</f>
        <v>43078</v>
      </c>
      <c r="B18" s="11"/>
      <c r="C18" s="5"/>
      <c r="D18" s="17"/>
      <c r="E18" s="11">
        <f>(A18-$A$18)*252/360</f>
        <v>0</v>
      </c>
      <c r="F18" s="24">
        <f>EXP(D19*E18)</f>
        <v>1</v>
      </c>
      <c r="G18" s="11"/>
      <c r="H18" s="11">
        <f>EXP(-E18*$B$4)</f>
        <v>1</v>
      </c>
      <c r="I18" s="5"/>
    </row>
    <row r="19" spans="1:9" x14ac:dyDescent="0.3">
      <c r="A19" s="16">
        <v>43089</v>
      </c>
      <c r="B19" s="18">
        <f>(A19-B15)/360</f>
        <v>0.25277777777777777</v>
      </c>
      <c r="C19" s="13"/>
      <c r="D19" s="19">
        <f>$B$9</f>
        <v>1.3369954678271602E-2</v>
      </c>
      <c r="E19" s="7">
        <f>(A19-$A$18)/365.242</f>
        <v>3.0117018305671307E-2</v>
      </c>
      <c r="F19" s="25">
        <f>EXP(-D19*E19)</f>
        <v>0.9995974178881426</v>
      </c>
      <c r="G19" s="7">
        <f>F18-F19</f>
        <v>4.025821118573969E-4</v>
      </c>
      <c r="H19" s="7">
        <f>EXP(-E19*$B$4)</f>
        <v>0.99909689749358654</v>
      </c>
      <c r="I19" s="5"/>
    </row>
    <row r="20" spans="1:9" x14ac:dyDescent="0.3">
      <c r="A20" s="16">
        <v>43179</v>
      </c>
      <c r="B20" s="18">
        <f>(A20-A19)/360</f>
        <v>0.25</v>
      </c>
      <c r="C20" s="13"/>
      <c r="D20" s="19">
        <f t="shared" ref="D20:D23" si="4">$B$9</f>
        <v>1.3369954678271602E-2</v>
      </c>
      <c r="E20" s="7">
        <f t="shared" ref="E20:E39" si="5">(A20-$A$18)/365.242</f>
        <v>0.27652898626116379</v>
      </c>
      <c r="F20" s="25">
        <f t="shared" ref="F20:F23" si="6">EXP(-D20*E20)</f>
        <v>0.99630964614138706</v>
      </c>
      <c r="G20" s="7">
        <f t="shared" ref="G20:G39" si="7">F19-F20</f>
        <v>3.2877717467555412E-3</v>
      </c>
      <c r="H20" s="7">
        <f t="shared" ref="H20:H39" si="8">EXP(-E20*$B$4)</f>
        <v>0.99173844617966489</v>
      </c>
      <c r="I20" s="5"/>
    </row>
    <row r="21" spans="1:9" x14ac:dyDescent="0.3">
      <c r="A21" s="16">
        <v>43271</v>
      </c>
      <c r="B21" s="18">
        <f t="shared" ref="B21:B39" si="9">(A21-A20)/360</f>
        <v>0.25555555555555554</v>
      </c>
      <c r="C21" s="13"/>
      <c r="D21" s="19">
        <f t="shared" si="4"/>
        <v>1.3369954678271602E-2</v>
      </c>
      <c r="E21" s="7">
        <f t="shared" si="5"/>
        <v>0.52841677572677836</v>
      </c>
      <c r="F21" s="25">
        <f t="shared" si="6"/>
        <v>0.99295998945418518</v>
      </c>
      <c r="G21" s="7">
        <f t="shared" si="7"/>
        <v>3.3496566872018851E-3</v>
      </c>
      <c r="H21" s="7">
        <f t="shared" si="8"/>
        <v>0.98427248632063358</v>
      </c>
      <c r="I21" s="5"/>
    </row>
    <row r="22" spans="1:9" x14ac:dyDescent="0.3">
      <c r="A22" s="16">
        <v>43363</v>
      </c>
      <c r="B22" s="18">
        <f t="shared" si="9"/>
        <v>0.25555555555555554</v>
      </c>
      <c r="C22" s="13"/>
      <c r="D22" s="19">
        <f t="shared" si="4"/>
        <v>1.3369954678271602E-2</v>
      </c>
      <c r="E22" s="7">
        <f t="shared" si="5"/>
        <v>0.780304565192393</v>
      </c>
      <c r="F22" s="25">
        <f t="shared" si="6"/>
        <v>0.98962159452678422</v>
      </c>
      <c r="G22" s="7">
        <f t="shared" si="7"/>
        <v>3.3383949274009561E-3</v>
      </c>
      <c r="H22" s="7">
        <f t="shared" si="8"/>
        <v>0.97686273135799551</v>
      </c>
      <c r="I22" s="5"/>
    </row>
    <row r="23" spans="1:9" x14ac:dyDescent="0.3">
      <c r="A23" s="16">
        <v>43454</v>
      </c>
      <c r="B23" s="18">
        <f t="shared" si="9"/>
        <v>0.25277777777777777</v>
      </c>
      <c r="C23" s="13"/>
      <c r="D23" s="19">
        <f t="shared" si="4"/>
        <v>1.3369954678271602E-2</v>
      </c>
      <c r="E23" s="7">
        <f t="shared" si="5"/>
        <v>1.0294544439029465</v>
      </c>
      <c r="F23" s="25">
        <f t="shared" si="6"/>
        <v>0.98633052819714495</v>
      </c>
      <c r="G23" s="7">
        <f t="shared" si="7"/>
        <v>3.2910663296392695E-3</v>
      </c>
      <c r="H23" s="7">
        <f t="shared" si="8"/>
        <v>0.96958839429681698</v>
      </c>
      <c r="I23" s="5"/>
    </row>
    <row r="24" spans="1:9" x14ac:dyDescent="0.3">
      <c r="A24" s="16">
        <v>43544</v>
      </c>
      <c r="B24" s="18">
        <f t="shared" si="9"/>
        <v>0.25</v>
      </c>
      <c r="C24" s="13"/>
      <c r="D24" s="20">
        <f>$B$10</f>
        <v>1.2534599951423994E-2</v>
      </c>
      <c r="E24" s="7">
        <f t="shared" si="5"/>
        <v>1.2758664118584391</v>
      </c>
      <c r="F24" s="25">
        <f>EXP(-$D$23*$E$23-(E24-$E$23)*D24)</f>
        <v>0.98328877323253916</v>
      </c>
      <c r="G24" s="7">
        <f t="shared" si="7"/>
        <v>3.0417549646057918E-3</v>
      </c>
      <c r="H24" s="7">
        <f t="shared" si="8"/>
        <v>0.96244727614113534</v>
      </c>
      <c r="I24" s="5"/>
    </row>
    <row r="25" spans="1:9" x14ac:dyDescent="0.3">
      <c r="A25" s="16">
        <v>43636</v>
      </c>
      <c r="B25" s="18">
        <f t="shared" si="9"/>
        <v>0.25555555555555554</v>
      </c>
      <c r="C25" s="13"/>
      <c r="D25" s="20">
        <f t="shared" ref="D25:D27" si="10">$B$10</f>
        <v>1.2534599951423994E-2</v>
      </c>
      <c r="E25" s="7">
        <f t="shared" si="5"/>
        <v>1.5277542013240535</v>
      </c>
      <c r="F25" s="25">
        <f t="shared" ref="F25:F27" si="11">EXP(-$D$23*$E$23-(E25-$E$23)*D25)</f>
        <v>0.98018911899075412</v>
      </c>
      <c r="G25" s="7">
        <f t="shared" si="7"/>
        <v>3.0996542417850437E-3</v>
      </c>
      <c r="H25" s="7">
        <f t="shared" si="8"/>
        <v>0.95520182472419801</v>
      </c>
      <c r="I25" s="5"/>
    </row>
    <row r="26" spans="1:9" x14ac:dyDescent="0.3">
      <c r="A26" s="16">
        <v>43728</v>
      </c>
      <c r="B26" s="18">
        <f t="shared" si="9"/>
        <v>0.25555555555555554</v>
      </c>
      <c r="C26" s="13"/>
      <c r="D26" s="20">
        <f t="shared" si="10"/>
        <v>1.2534599951423994E-2</v>
      </c>
      <c r="E26" s="7">
        <f t="shared" si="5"/>
        <v>1.7796419907896681</v>
      </c>
      <c r="F26" s="25">
        <f t="shared" si="11"/>
        <v>0.97709923589319481</v>
      </c>
      <c r="G26" s="7">
        <f t="shared" si="7"/>
        <v>3.0898830975593095E-3</v>
      </c>
      <c r="H26" s="7">
        <f t="shared" si="8"/>
        <v>0.94801091818211936</v>
      </c>
      <c r="I26" s="5"/>
    </row>
    <row r="27" spans="1:9" x14ac:dyDescent="0.3">
      <c r="A27" s="16">
        <v>43819</v>
      </c>
      <c r="B27" s="18">
        <f t="shared" si="9"/>
        <v>0.25277777777777777</v>
      </c>
      <c r="C27" s="13"/>
      <c r="D27" s="20">
        <f t="shared" si="10"/>
        <v>1.2534599951423994E-2</v>
      </c>
      <c r="E27" s="7">
        <f t="shared" si="5"/>
        <v>2.0287918695002216</v>
      </c>
      <c r="F27" s="25">
        <f t="shared" si="11"/>
        <v>0.97405252069879611</v>
      </c>
      <c r="G27" s="7">
        <f t="shared" si="7"/>
        <v>3.046715194398697E-3</v>
      </c>
      <c r="H27" s="7">
        <f t="shared" si="8"/>
        <v>0.94095142994988079</v>
      </c>
      <c r="I27" s="5"/>
    </row>
    <row r="28" spans="1:9" x14ac:dyDescent="0.3">
      <c r="A28" s="16">
        <v>43910</v>
      </c>
      <c r="B28" s="18">
        <f t="shared" si="9"/>
        <v>0.25277777777777777</v>
      </c>
      <c r="C28" s="13"/>
      <c r="D28" s="21">
        <f>$B$11</f>
        <v>1.5097385707745506E-2</v>
      </c>
      <c r="E28" s="7">
        <f t="shared" si="5"/>
        <v>2.2779417482107753</v>
      </c>
      <c r="F28" s="25">
        <f>EXP(-$D$23*$E$23-($E$27-$E$23)*$D$27-(E28-$E$27)*D28)</f>
        <v>0.97039549291943783</v>
      </c>
      <c r="G28" s="7">
        <f t="shared" si="7"/>
        <v>3.6570277793582795E-3</v>
      </c>
      <c r="H28" s="7">
        <f t="shared" si="8"/>
        <v>0.93394451112707133</v>
      </c>
      <c r="I28" s="5"/>
    </row>
    <row r="29" spans="1:9" x14ac:dyDescent="0.3">
      <c r="A29" s="16">
        <v>44002</v>
      </c>
      <c r="B29" s="18">
        <f t="shared" si="9"/>
        <v>0.25555555555555554</v>
      </c>
      <c r="C29" s="13"/>
      <c r="D29" s="21">
        <f t="shared" ref="D29:D31" si="12">$B$11</f>
        <v>1.5097385707745506E-2</v>
      </c>
      <c r="E29" s="7">
        <f t="shared" si="5"/>
        <v>2.52982953767639</v>
      </c>
      <c r="F29" s="25">
        <f t="shared" ref="F29:F31" si="13">EXP(-$D$23*$E$23-($E$27-$E$23)*$D$27-(E29-$E$27)*D29)</f>
        <v>0.96671223509310122</v>
      </c>
      <c r="G29" s="7">
        <f t="shared" si="7"/>
        <v>3.6832578263366056E-3</v>
      </c>
      <c r="H29" s="7">
        <f t="shared" si="8"/>
        <v>0.92691363291770312</v>
      </c>
      <c r="I29" s="5"/>
    </row>
    <row r="30" spans="1:9" x14ac:dyDescent="0.3">
      <c r="A30" s="16">
        <v>44094</v>
      </c>
      <c r="B30" s="18">
        <f t="shared" si="9"/>
        <v>0.25555555555555554</v>
      </c>
      <c r="C30" s="13"/>
      <c r="D30" s="21">
        <f t="shared" si="12"/>
        <v>1.5097385707745506E-2</v>
      </c>
      <c r="E30" s="7">
        <f t="shared" si="5"/>
        <v>2.7817173271420041</v>
      </c>
      <c r="F30" s="25">
        <f t="shared" si="13"/>
        <v>0.96304295753389713</v>
      </c>
      <c r="G30" s="7">
        <f t="shared" si="7"/>
        <v>3.6692775592040983E-3</v>
      </c>
      <c r="H30" s="7">
        <f t="shared" si="8"/>
        <v>0.9199356842430193</v>
      </c>
      <c r="I30" s="5"/>
    </row>
    <row r="31" spans="1:9" x14ac:dyDescent="0.3">
      <c r="A31" s="16">
        <v>44185</v>
      </c>
      <c r="B31" s="18">
        <f t="shared" si="9"/>
        <v>0.25277777777777777</v>
      </c>
      <c r="C31" s="13"/>
      <c r="D31" s="21">
        <f t="shared" si="12"/>
        <v>1.5097385707745506E-2</v>
      </c>
      <c r="E31" s="7">
        <f t="shared" si="5"/>
        <v>3.0308672058525579</v>
      </c>
      <c r="F31" s="25">
        <f t="shared" si="13"/>
        <v>0.95942726456706395</v>
      </c>
      <c r="G31" s="7">
        <f t="shared" si="7"/>
        <v>3.6156929668331728E-3</v>
      </c>
      <c r="H31" s="7">
        <f t="shared" si="8"/>
        <v>0.91308526194009565</v>
      </c>
      <c r="I31" s="5"/>
    </row>
    <row r="32" spans="1:9" x14ac:dyDescent="0.3">
      <c r="A32" s="16">
        <v>44275</v>
      </c>
      <c r="B32" s="18">
        <f t="shared" si="9"/>
        <v>0.25</v>
      </c>
      <c r="C32" s="13"/>
      <c r="D32" s="22">
        <f>$B$12</f>
        <v>1.6519378016297531E-2</v>
      </c>
      <c r="E32" s="7">
        <f t="shared" si="5"/>
        <v>3.2772791738080502</v>
      </c>
      <c r="F32" s="25">
        <f>EXP(-$D$23*$E$23-($E$27-$E$23)*$D$27-($E$31-$E$27)*$D$31-(E32-$E$31)*D32)</f>
        <v>0.95552978424921808</v>
      </c>
      <c r="G32" s="7">
        <f t="shared" si="7"/>
        <v>3.8974803178458695E-3</v>
      </c>
      <c r="H32" s="7">
        <f t="shared" si="8"/>
        <v>0.9063602951602957</v>
      </c>
      <c r="I32" s="5"/>
    </row>
    <row r="33" spans="1:9" x14ac:dyDescent="0.3">
      <c r="A33" s="16">
        <v>44367</v>
      </c>
      <c r="B33" s="18">
        <f t="shared" si="9"/>
        <v>0.25555555555555554</v>
      </c>
      <c r="C33" s="13"/>
      <c r="D33" s="22">
        <f t="shared" ref="D33:D35" si="14">$B$12</f>
        <v>1.6519378016297531E-2</v>
      </c>
      <c r="E33" s="7">
        <f t="shared" si="5"/>
        <v>3.5291669632736649</v>
      </c>
      <c r="F33" s="25">
        <f t="shared" ref="F33:F35" si="15">EXP(-$D$23*$E$23-($E$27-$E$23)*$D$27-($E$31-$E$27)*$D$31-(E33-$E$31)*D33)</f>
        <v>0.9515620571617055</v>
      </c>
      <c r="G33" s="7">
        <f t="shared" si="7"/>
        <v>3.9677270875125847E-3</v>
      </c>
      <c r="H33" s="7">
        <f t="shared" si="8"/>
        <v>0.8995370751797116</v>
      </c>
      <c r="I33" s="5"/>
    </row>
    <row r="34" spans="1:9" x14ac:dyDescent="0.3">
      <c r="A34" s="16">
        <v>44459</v>
      </c>
      <c r="B34" s="18">
        <f t="shared" si="9"/>
        <v>0.25555555555555554</v>
      </c>
      <c r="C34" s="13"/>
      <c r="D34" s="22">
        <f t="shared" si="14"/>
        <v>1.6519378016297531E-2</v>
      </c>
      <c r="E34" s="7">
        <f t="shared" si="5"/>
        <v>3.7810547527392795</v>
      </c>
      <c r="F34" s="25">
        <f t="shared" si="15"/>
        <v>0.94761080560274302</v>
      </c>
      <c r="G34" s="7">
        <f t="shared" si="7"/>
        <v>3.9512515589624764E-3</v>
      </c>
      <c r="H34" s="7">
        <f t="shared" si="8"/>
        <v>0.8927652214506635</v>
      </c>
      <c r="I34" s="5"/>
    </row>
    <row r="35" spans="1:9" x14ac:dyDescent="0.3">
      <c r="A35" s="16">
        <v>44550</v>
      </c>
      <c r="B35" s="18">
        <f t="shared" si="9"/>
        <v>0.25277777777777777</v>
      </c>
      <c r="C35" s="13"/>
      <c r="D35" s="22">
        <f t="shared" si="14"/>
        <v>1.6519378016297531E-2</v>
      </c>
      <c r="E35" s="7">
        <f t="shared" si="5"/>
        <v>4.0302046314498332</v>
      </c>
      <c r="F35" s="25">
        <f t="shared" si="15"/>
        <v>0.94371864325110599</v>
      </c>
      <c r="G35" s="7">
        <f t="shared" si="7"/>
        <v>3.8921623516370296E-3</v>
      </c>
      <c r="H35" s="7">
        <f t="shared" si="8"/>
        <v>0.8861171275794788</v>
      </c>
      <c r="I35" s="5"/>
    </row>
    <row r="36" spans="1:9" x14ac:dyDescent="0.3">
      <c r="A36" s="16">
        <v>44640</v>
      </c>
      <c r="B36" s="18">
        <f t="shared" si="9"/>
        <v>0.25</v>
      </c>
      <c r="C36" s="13"/>
      <c r="D36" s="23">
        <f>$B$13</f>
        <v>1.6434285997792453E-2</v>
      </c>
      <c r="E36" s="7">
        <f t="shared" si="5"/>
        <v>4.2766165994053251</v>
      </c>
      <c r="F36" s="25">
        <f>EXP(-$D$23*$E$23-($E$27-$E$23)*$D$27-($E$31-$E$27)*$D$31-($E$35-$E$31)*$D$35-(E36-$E$35)*D36)</f>
        <v>0.93990468347334799</v>
      </c>
      <c r="G36" s="7">
        <f t="shared" si="7"/>
        <v>3.8139597777580025E-3</v>
      </c>
      <c r="H36" s="7">
        <f t="shared" si="8"/>
        <v>0.87959078388040079</v>
      </c>
      <c r="I36" s="5"/>
    </row>
    <row r="37" spans="1:9" x14ac:dyDescent="0.3">
      <c r="A37" s="16">
        <v>44732</v>
      </c>
      <c r="B37" s="18">
        <f t="shared" si="9"/>
        <v>0.25555555555555554</v>
      </c>
      <c r="C37" s="13"/>
      <c r="D37" s="23">
        <f t="shared" ref="D37:D39" si="16">$B$13</f>
        <v>1.6434285997792453E-2</v>
      </c>
      <c r="E37" s="7">
        <f t="shared" si="5"/>
        <v>4.5285043888709398</v>
      </c>
      <c r="F37" s="25">
        <f t="shared" ref="F37:F39" si="17">EXP(-$D$23*$E$23-($E$27-$E$23)*$D$27-($E$31-$E$27)*$D$31-($E$35-$E$31)*$D$35-(E37-$E$35)*D37)</f>
        <v>0.93602189995431628</v>
      </c>
      <c r="G37" s="7">
        <f t="shared" si="7"/>
        <v>3.8827835190317073E-3</v>
      </c>
      <c r="H37" s="7">
        <f t="shared" si="8"/>
        <v>0.87296908890616431</v>
      </c>
      <c r="I37" s="5"/>
    </row>
    <row r="38" spans="1:9" x14ac:dyDescent="0.3">
      <c r="A38" s="16">
        <v>44824</v>
      </c>
      <c r="B38" s="18">
        <f t="shared" si="9"/>
        <v>0.25555555555555554</v>
      </c>
      <c r="C38" s="13"/>
      <c r="D38" s="23">
        <f t="shared" si="16"/>
        <v>1.6434285997792453E-2</v>
      </c>
      <c r="E38" s="7">
        <f t="shared" si="5"/>
        <v>4.7803921783365544</v>
      </c>
      <c r="F38" s="25">
        <f t="shared" si="17"/>
        <v>0.93215515636797208</v>
      </c>
      <c r="G38" s="7">
        <f t="shared" si="7"/>
        <v>3.8667435863442012E-3</v>
      </c>
      <c r="H38" s="7">
        <f t="shared" si="8"/>
        <v>0.86639724307215926</v>
      </c>
      <c r="I38" s="5"/>
    </row>
    <row r="39" spans="1:9" x14ac:dyDescent="0.3">
      <c r="A39" s="16">
        <v>44915</v>
      </c>
      <c r="B39" s="18">
        <f t="shared" si="9"/>
        <v>0.25277777777777777</v>
      </c>
      <c r="C39" s="13"/>
      <c r="D39" s="23">
        <f t="shared" si="16"/>
        <v>1.6434285997792453E-2</v>
      </c>
      <c r="E39" s="7">
        <f t="shared" si="5"/>
        <v>5.0295420570471085</v>
      </c>
      <c r="F39" s="25">
        <f t="shared" si="17"/>
        <v>0.92834615701309142</v>
      </c>
      <c r="G39" s="7">
        <f t="shared" si="7"/>
        <v>3.80899935488066E-3</v>
      </c>
      <c r="H39" s="7">
        <f t="shared" si="8"/>
        <v>0.85994550182677321</v>
      </c>
      <c r="I39" s="5"/>
    </row>
    <row r="40" spans="1:9" x14ac:dyDescent="0.3">
      <c r="A40" s="10"/>
      <c r="B40" s="10"/>
      <c r="D40" s="10"/>
      <c r="E40" s="10"/>
      <c r="F40" s="10"/>
      <c r="G40" s="10"/>
      <c r="H40" s="10"/>
    </row>
  </sheetData>
  <mergeCells count="2">
    <mergeCell ref="L6:M7"/>
    <mergeCell ref="L12:O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ibrate">
                <anchor moveWithCells="1" sizeWithCells="1">
                  <from>
                    <xdr:col>2</xdr:col>
                    <xdr:colOff>243840</xdr:colOff>
                    <xdr:row>1</xdr:row>
                    <xdr:rowOff>53340</xdr:rowOff>
                  </from>
                  <to>
                    <xdr:col>3</xdr:col>
                    <xdr:colOff>1143000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927E-3025-42B2-96F3-E5A82EA85DC8}">
  <sheetPr codeName="Sheet4"/>
  <dimension ref="A1:N40"/>
  <sheetViews>
    <sheetView zoomScale="63" zoomScaleNormal="63" workbookViewId="0">
      <selection activeCell="M28" sqref="M28"/>
    </sheetView>
  </sheetViews>
  <sheetFormatPr defaultRowHeight="14.4" x14ac:dyDescent="0.3"/>
  <cols>
    <col min="1" max="1" width="21.109375" style="2" bestFit="1" customWidth="1"/>
    <col min="2" max="2" width="20.21875" style="2" customWidth="1"/>
    <col min="3" max="3" width="10.5546875" style="2" customWidth="1"/>
    <col min="4" max="4" width="23.5546875" style="2" bestFit="1" customWidth="1"/>
    <col min="5" max="5" width="20.21875" style="2" customWidth="1"/>
    <col min="6" max="6" width="17.21875" style="2" customWidth="1"/>
    <col min="7" max="7" width="20.21875" style="2" customWidth="1"/>
    <col min="8" max="8" width="18.44140625" style="2" customWidth="1"/>
    <col min="9" max="11" width="8.88671875" style="2"/>
    <col min="12" max="12" width="34.5546875" style="2" bestFit="1" customWidth="1"/>
    <col min="13" max="13" width="13.44140625" style="2" bestFit="1" customWidth="1"/>
    <col min="14" max="16384" width="8.88671875" style="2"/>
  </cols>
  <sheetData>
    <row r="1" spans="1:14" x14ac:dyDescent="0.3">
      <c r="A1" s="32" t="s">
        <v>0</v>
      </c>
      <c r="B1" s="33">
        <v>43077</v>
      </c>
      <c r="C1" s="34"/>
      <c r="D1" s="34"/>
      <c r="E1" s="6" t="s">
        <v>40</v>
      </c>
      <c r="F1" s="35"/>
      <c r="G1" s="35"/>
      <c r="H1" s="35"/>
    </row>
    <row r="2" spans="1:14" x14ac:dyDescent="0.3">
      <c r="A2" s="34"/>
      <c r="B2" s="34"/>
      <c r="C2" s="34"/>
      <c r="D2" s="36"/>
      <c r="E2" s="24" t="s">
        <v>33</v>
      </c>
      <c r="F2" s="37" t="s">
        <v>34</v>
      </c>
      <c r="G2" s="24" t="s">
        <v>29</v>
      </c>
      <c r="H2" s="29">
        <f>M8</f>
        <v>2.7422647061857711E-2</v>
      </c>
      <c r="I2" s="5"/>
    </row>
    <row r="3" spans="1:14" x14ac:dyDescent="0.3">
      <c r="A3" s="6" t="s">
        <v>1</v>
      </c>
      <c r="B3" s="35"/>
      <c r="C3" s="34"/>
      <c r="D3" s="36"/>
      <c r="E3" s="24" t="s">
        <v>35</v>
      </c>
      <c r="F3" s="38">
        <f>A33</f>
        <v>44367</v>
      </c>
      <c r="G3" s="24" t="s">
        <v>30</v>
      </c>
      <c r="H3" s="28">
        <f>M9</f>
        <v>3.5234820839226333</v>
      </c>
      <c r="I3" s="5"/>
    </row>
    <row r="4" spans="1:14" x14ac:dyDescent="0.3">
      <c r="A4" s="24" t="s">
        <v>2</v>
      </c>
      <c r="B4" s="39">
        <v>0.03</v>
      </c>
      <c r="C4" s="40"/>
      <c r="D4" s="36"/>
      <c r="E4" s="24" t="s">
        <v>36</v>
      </c>
      <c r="F4" s="37">
        <v>115</v>
      </c>
      <c r="G4" s="24" t="s">
        <v>31</v>
      </c>
      <c r="H4" s="28">
        <f>H2*10000/H3</f>
        <v>77.828257413270407</v>
      </c>
      <c r="I4" s="5"/>
    </row>
    <row r="5" spans="1:14" x14ac:dyDescent="0.3">
      <c r="A5" s="24" t="s">
        <v>3</v>
      </c>
      <c r="B5" s="41">
        <v>0.4</v>
      </c>
      <c r="C5" s="40"/>
      <c r="D5" s="36"/>
      <c r="E5" s="24" t="s">
        <v>37</v>
      </c>
      <c r="F5" s="42">
        <v>10000000</v>
      </c>
      <c r="G5" s="24" t="s">
        <v>32</v>
      </c>
      <c r="H5" s="8">
        <f>IF(F2="L",1,-1)*((H4-F4)*F5/10000)*H3</f>
        <v>-130973.96903252567</v>
      </c>
      <c r="I5" s="5"/>
    </row>
    <row r="6" spans="1:14" x14ac:dyDescent="0.3">
      <c r="A6" s="9"/>
      <c r="B6" s="10"/>
      <c r="E6" s="10"/>
      <c r="F6" s="10"/>
      <c r="G6" s="10"/>
      <c r="H6" s="10"/>
      <c r="L6" s="46" t="s">
        <v>41</v>
      </c>
      <c r="M6" s="47"/>
    </row>
    <row r="7" spans="1:14" x14ac:dyDescent="0.3">
      <c r="A7" s="6" t="s">
        <v>39</v>
      </c>
      <c r="B7" s="3"/>
      <c r="C7" s="3"/>
      <c r="D7" s="3"/>
      <c r="E7" s="3"/>
      <c r="F7" s="3"/>
      <c r="G7" s="3"/>
      <c r="H7" s="3"/>
      <c r="L7" s="48"/>
      <c r="M7" s="49"/>
    </row>
    <row r="8" spans="1:14" x14ac:dyDescent="0.3">
      <c r="A8" s="1" t="s">
        <v>4</v>
      </c>
      <c r="B8" s="1" t="s">
        <v>10</v>
      </c>
      <c r="C8" s="1" t="s">
        <v>11</v>
      </c>
      <c r="D8" s="1" t="s">
        <v>16</v>
      </c>
      <c r="E8" s="1" t="s">
        <v>12</v>
      </c>
      <c r="F8" s="1" t="s">
        <v>13</v>
      </c>
      <c r="G8" s="1" t="s">
        <v>14</v>
      </c>
      <c r="H8" s="1" t="s">
        <v>15</v>
      </c>
      <c r="I8" s="5"/>
      <c r="L8" s="1" t="s">
        <v>12</v>
      </c>
      <c r="M8" s="29">
        <f>(1-$B$5)*SUMPRODUCT($G$19:G33,$H$19:H33)</f>
        <v>2.7422647061857711E-2</v>
      </c>
    </row>
    <row r="9" spans="1:14" x14ac:dyDescent="0.3">
      <c r="A9" s="26" t="s">
        <v>5</v>
      </c>
      <c r="B9" s="27">
        <v>1.3369954678085562E-2</v>
      </c>
      <c r="C9" s="4">
        <v>65</v>
      </c>
      <c r="D9" s="28">
        <f>E9*10000/F9</f>
        <v>64.999999998745096</v>
      </c>
      <c r="E9" s="29">
        <f>(1-$B$5)*SUMPRODUCT($G$19:G23,$H$19:H23)</f>
        <v>8.0471618419938312E-3</v>
      </c>
      <c r="F9" s="28">
        <f>SUMPRODUCT($B$19:B23,$F$19:F23,$H$19:H23)</f>
        <v>1.2380248987921831</v>
      </c>
      <c r="G9" s="28">
        <f>C9-D9</f>
        <v>1.2549037364806281E-9</v>
      </c>
      <c r="H9" s="28">
        <f>G9^2</f>
        <v>1.5747833878330418E-18</v>
      </c>
      <c r="I9" s="5"/>
      <c r="L9" s="1" t="s">
        <v>13</v>
      </c>
      <c r="M9" s="28">
        <f>SUMPRODUCT($B$19:B33,$F$19:F33,$H$19:H33)</f>
        <v>3.5234820839226333</v>
      </c>
    </row>
    <row r="10" spans="1:14" x14ac:dyDescent="0.3">
      <c r="A10" s="26" t="s">
        <v>6</v>
      </c>
      <c r="B10" s="27">
        <v>1.2534599951814506E-2</v>
      </c>
      <c r="C10" s="4">
        <v>69</v>
      </c>
      <c r="D10" s="28">
        <f t="shared" ref="D10:D13" si="0">E10*10000/F10</f>
        <v>68.999999999933053</v>
      </c>
      <c r="E10" s="29">
        <f>(1-$B$5)*SUMPRODUCT($G$19:G27,$H$19:H27)</f>
        <v>1.5057788701823956E-2</v>
      </c>
      <c r="F10" s="28">
        <f>SUMPRODUCT($B$19:B27,$F$19:F27,$H$19:H27)</f>
        <v>2.1822882176577632</v>
      </c>
      <c r="G10" s="28">
        <f t="shared" ref="G10:G13" si="1">C10-D10</f>
        <v>6.694733656331664E-11</v>
      </c>
      <c r="H10" s="28">
        <f t="shared" ref="H10:H13" si="2">G10^2</f>
        <v>4.481945872921993E-21</v>
      </c>
      <c r="I10" s="5"/>
      <c r="L10" s="1" t="s">
        <v>16</v>
      </c>
      <c r="M10" s="44">
        <f>M8*10000/M9</f>
        <v>77.828257413270407</v>
      </c>
    </row>
    <row r="11" spans="1:14" x14ac:dyDescent="0.3">
      <c r="A11" s="26" t="s">
        <v>7</v>
      </c>
      <c r="B11" s="27">
        <v>1.5097385707475609E-2</v>
      </c>
      <c r="C11" s="4">
        <v>75</v>
      </c>
      <c r="D11" s="28">
        <f t="shared" si="0"/>
        <v>75.00000000020944</v>
      </c>
      <c r="E11" s="29">
        <f>(1-$B$5)*SUMPRODUCT($G$19:G31,$H$19:H31)</f>
        <v>2.3161663643382336E-2</v>
      </c>
      <c r="F11" s="28">
        <f>SUMPRODUCT($B$19:B31,$F$19:F31,$H$19:H31)</f>
        <v>3.0882218191090209</v>
      </c>
      <c r="G11" s="28">
        <f t="shared" si="1"/>
        <v>-2.0943957679264713E-10</v>
      </c>
      <c r="H11" s="28">
        <f t="shared" si="2"/>
        <v>4.3864936327083135E-20</v>
      </c>
      <c r="I11" s="5"/>
    </row>
    <row r="12" spans="1:14" x14ac:dyDescent="0.3">
      <c r="A12" s="26" t="s">
        <v>8</v>
      </c>
      <c r="B12" s="27">
        <v>1.6519378016566336E-2</v>
      </c>
      <c r="C12" s="4">
        <v>80</v>
      </c>
      <c r="D12" s="28">
        <f t="shared" si="0"/>
        <v>80.000000000308816</v>
      </c>
      <c r="E12" s="29">
        <f>(1-$B$5)*SUMPRODUCT($G$19:G35,$H$19:H35)</f>
        <v>3.1608518079615261E-2</v>
      </c>
      <c r="F12" s="28">
        <f>SUMPRODUCT($B$19:B35,$F$19:F35,$H$19:H35)</f>
        <v>3.9510647599366555</v>
      </c>
      <c r="G12" s="28">
        <f t="shared" si="1"/>
        <v>-3.0881608381605474E-10</v>
      </c>
      <c r="H12" s="28">
        <f t="shared" si="2"/>
        <v>9.5367373623484548E-20</v>
      </c>
      <c r="I12" s="5"/>
      <c r="L12" s="50" t="s">
        <v>40</v>
      </c>
      <c r="M12" s="51"/>
      <c r="N12" s="51"/>
    </row>
    <row r="13" spans="1:14" x14ac:dyDescent="0.3">
      <c r="A13" s="26" t="s">
        <v>9</v>
      </c>
      <c r="B13" s="27">
        <v>1.643428599805033E-2</v>
      </c>
      <c r="C13" s="4">
        <v>83</v>
      </c>
      <c r="D13" s="28">
        <f t="shared" si="0"/>
        <v>83.000000000428003</v>
      </c>
      <c r="E13" s="29">
        <f>(1-$B$5)*SUMPRODUCT($G$19:G39,$H$19:H39)</f>
        <v>3.9630483103459534E-2</v>
      </c>
      <c r="F13" s="28">
        <f>SUMPRODUCT($B$19:B39,$F$19:F39,$H$19:H39)</f>
        <v>4.7747570003921895</v>
      </c>
      <c r="G13" s="28">
        <f t="shared" si="1"/>
        <v>-4.2800252231245395E-10</v>
      </c>
      <c r="H13" s="28">
        <f t="shared" si="2"/>
        <v>1.8318615910582264E-19</v>
      </c>
      <c r="I13" s="5"/>
      <c r="L13" s="24" t="s">
        <v>42</v>
      </c>
      <c r="M13" s="8">
        <v>-130966.79296123594</v>
      </c>
      <c r="N13" s="45">
        <f>M13/$H$5-1</f>
        <v>-5.4790057465115005E-5</v>
      </c>
    </row>
    <row r="14" spans="1:14" x14ac:dyDescent="0.3">
      <c r="A14" s="10"/>
      <c r="B14" s="10"/>
      <c r="C14" s="10"/>
      <c r="D14" s="10"/>
      <c r="E14" s="10"/>
      <c r="F14" s="12"/>
      <c r="G14" s="30" t="s">
        <v>38</v>
      </c>
      <c r="H14" s="31">
        <f>AVERAGE(H9:H13)</f>
        <v>3.8033676055247083E-19</v>
      </c>
      <c r="I14" s="5"/>
      <c r="L14" s="24" t="s">
        <v>43</v>
      </c>
      <c r="M14" s="8">
        <v>-130961.01533120524</v>
      </c>
      <c r="N14" s="45">
        <f t="shared" ref="N14:N17" si="3">M14/$H$5-1</f>
        <v>-9.8902869143491223E-5</v>
      </c>
    </row>
    <row r="15" spans="1:14" x14ac:dyDescent="0.3">
      <c r="A15" s="6" t="s">
        <v>17</v>
      </c>
      <c r="B15" s="43">
        <v>42998</v>
      </c>
      <c r="D15" s="3"/>
      <c r="E15" s="3"/>
      <c r="G15" s="10"/>
      <c r="H15" s="10"/>
      <c r="L15" s="24" t="s">
        <v>44</v>
      </c>
      <c r="M15" s="8">
        <v>-129427.15564514342</v>
      </c>
      <c r="N15" s="45">
        <f t="shared" si="3"/>
        <v>-1.1810082559215451E-2</v>
      </c>
    </row>
    <row r="16" spans="1:14" x14ac:dyDescent="0.3">
      <c r="A16" s="1" t="s">
        <v>18</v>
      </c>
      <c r="B16" s="1" t="s">
        <v>20</v>
      </c>
      <c r="C16" s="13"/>
      <c r="D16" s="24" t="s">
        <v>22</v>
      </c>
      <c r="E16" s="24" t="s">
        <v>24</v>
      </c>
      <c r="F16" s="14"/>
      <c r="G16" s="3"/>
      <c r="H16" s="3"/>
      <c r="L16" s="24" t="s">
        <v>45</v>
      </c>
      <c r="M16" s="8">
        <v>-128974.8251958911</v>
      </c>
      <c r="N16" s="45">
        <f t="shared" si="3"/>
        <v>-1.5263673013819257E-2</v>
      </c>
    </row>
    <row r="17" spans="1:14" x14ac:dyDescent="0.3">
      <c r="A17" s="1" t="s">
        <v>19</v>
      </c>
      <c r="B17" s="1" t="s">
        <v>21</v>
      </c>
      <c r="C17" s="13"/>
      <c r="D17" s="24" t="s">
        <v>23</v>
      </c>
      <c r="E17" s="24" t="s">
        <v>25</v>
      </c>
      <c r="F17" s="24" t="s">
        <v>26</v>
      </c>
      <c r="G17" s="15" t="s">
        <v>27</v>
      </c>
      <c r="H17" s="1" t="s">
        <v>28</v>
      </c>
      <c r="I17" s="5"/>
      <c r="L17" s="24" t="s">
        <v>46</v>
      </c>
      <c r="M17" s="8">
        <v>-130973.96903230269</v>
      </c>
      <c r="N17" s="45">
        <f t="shared" si="3"/>
        <v>-1.702415985960215E-12</v>
      </c>
    </row>
    <row r="18" spans="1:14" x14ac:dyDescent="0.3">
      <c r="A18" s="16">
        <f>B1+1</f>
        <v>43078</v>
      </c>
      <c r="B18" s="11"/>
      <c r="C18" s="5"/>
      <c r="D18" s="17"/>
      <c r="E18" s="11">
        <f>(A18-$A$18)*252/360</f>
        <v>0</v>
      </c>
      <c r="F18" s="24">
        <f>EXP(D19*E18)</f>
        <v>1</v>
      </c>
      <c r="G18" s="11"/>
      <c r="H18" s="11">
        <f>EXP(-E18*$B$4)</f>
        <v>1</v>
      </c>
      <c r="I18" s="5"/>
    </row>
    <row r="19" spans="1:14" x14ac:dyDescent="0.3">
      <c r="A19" s="16">
        <v>43089</v>
      </c>
      <c r="B19" s="18">
        <f>(A19-B15)/360</f>
        <v>0.25277777777777777</v>
      </c>
      <c r="C19" s="13"/>
      <c r="D19" s="19">
        <f>$B$9</f>
        <v>1.3369954678085562E-2</v>
      </c>
      <c r="E19" s="7">
        <f>(A19-$A$18)/365.242</f>
        <v>3.0117018305671307E-2</v>
      </c>
      <c r="F19" s="25">
        <f>EXP(-D19*E19)</f>
        <v>0.99959741788814815</v>
      </c>
      <c r="G19" s="7">
        <f>F18-F19</f>
        <v>4.0258211185184578E-4</v>
      </c>
      <c r="H19" s="7">
        <f>EXP(-E19*$B$4)</f>
        <v>0.99909689749358654</v>
      </c>
      <c r="I19" s="5"/>
    </row>
    <row r="20" spans="1:14" x14ac:dyDescent="0.3">
      <c r="A20" s="16">
        <v>43179</v>
      </c>
      <c r="B20" s="18">
        <f>(A20-A19)/360</f>
        <v>0.25</v>
      </c>
      <c r="C20" s="13"/>
      <c r="D20" s="19">
        <f t="shared" ref="D20:D23" si="4">$B$9</f>
        <v>1.3369954678085562E-2</v>
      </c>
      <c r="E20" s="7">
        <f t="shared" ref="E20:E39" si="5">(A20-$A$18)/365.242</f>
        <v>0.27652898626116379</v>
      </c>
      <c r="F20" s="25">
        <f t="shared" ref="F20:F23" si="6">EXP(-D20*E20)</f>
        <v>0.99630964614143824</v>
      </c>
      <c r="G20" s="7">
        <f t="shared" ref="G20:G39" si="7">F19-F20</f>
        <v>3.287771746709911E-3</v>
      </c>
      <c r="H20" s="7">
        <f t="shared" ref="H20:H39" si="8">EXP(-E20*$B$4)</f>
        <v>0.99173844617966489</v>
      </c>
      <c r="I20" s="5"/>
    </row>
    <row r="21" spans="1:14" x14ac:dyDescent="0.3">
      <c r="A21" s="16">
        <v>43271</v>
      </c>
      <c r="B21" s="18">
        <f t="shared" ref="B21:B39" si="9">(A21-A20)/360</f>
        <v>0.25555555555555554</v>
      </c>
      <c r="C21" s="13"/>
      <c r="D21" s="19">
        <f t="shared" si="4"/>
        <v>1.3369954678085562E-2</v>
      </c>
      <c r="E21" s="7">
        <f t="shared" si="5"/>
        <v>0.52841677572677836</v>
      </c>
      <c r="F21" s="25">
        <f t="shared" si="6"/>
        <v>0.99295998945428277</v>
      </c>
      <c r="G21" s="7">
        <f t="shared" si="7"/>
        <v>3.3496566871554778E-3</v>
      </c>
      <c r="H21" s="7">
        <f t="shared" si="8"/>
        <v>0.98427248632063358</v>
      </c>
      <c r="I21" s="5"/>
    </row>
    <row r="22" spans="1:14" x14ac:dyDescent="0.3">
      <c r="A22" s="16">
        <v>43363</v>
      </c>
      <c r="B22" s="18">
        <f t="shared" si="9"/>
        <v>0.25555555555555554</v>
      </c>
      <c r="C22" s="13"/>
      <c r="D22" s="19">
        <f t="shared" si="4"/>
        <v>1.3369954678085562E-2</v>
      </c>
      <c r="E22" s="7">
        <f t="shared" si="5"/>
        <v>0.780304565192393</v>
      </c>
      <c r="F22" s="25">
        <f t="shared" si="6"/>
        <v>0.98962159452692788</v>
      </c>
      <c r="G22" s="7">
        <f t="shared" si="7"/>
        <v>3.3383949273548819E-3</v>
      </c>
      <c r="H22" s="7">
        <f t="shared" si="8"/>
        <v>0.97686273135799551</v>
      </c>
      <c r="I22" s="5"/>
    </row>
    <row r="23" spans="1:14" x14ac:dyDescent="0.3">
      <c r="A23" s="16">
        <v>43454</v>
      </c>
      <c r="B23" s="18">
        <f t="shared" si="9"/>
        <v>0.25277777777777777</v>
      </c>
      <c r="C23" s="13"/>
      <c r="D23" s="19">
        <f t="shared" si="4"/>
        <v>1.3369954678085562E-2</v>
      </c>
      <c r="E23" s="7">
        <f t="shared" si="5"/>
        <v>1.0294544439029465</v>
      </c>
      <c r="F23" s="25">
        <f t="shared" si="6"/>
        <v>0.98633052819733391</v>
      </c>
      <c r="G23" s="7">
        <f t="shared" si="7"/>
        <v>3.2910663295939724E-3</v>
      </c>
      <c r="H23" s="7">
        <f t="shared" si="8"/>
        <v>0.96958839429681698</v>
      </c>
      <c r="I23" s="5"/>
    </row>
    <row r="24" spans="1:14" x14ac:dyDescent="0.3">
      <c r="A24" s="16">
        <v>43544</v>
      </c>
      <c r="B24" s="18">
        <f t="shared" si="9"/>
        <v>0.25</v>
      </c>
      <c r="C24" s="13"/>
      <c r="D24" s="20">
        <f>$B$10</f>
        <v>1.2534599951814506E-2</v>
      </c>
      <c r="E24" s="7">
        <f t="shared" si="5"/>
        <v>1.2758664118584391</v>
      </c>
      <c r="F24" s="25">
        <f>EXP(-$D$23*$E$23-(E24-$E$23)*D24)</f>
        <v>0.98328877323263286</v>
      </c>
      <c r="G24" s="7">
        <f t="shared" si="7"/>
        <v>3.0417549647010489E-3</v>
      </c>
      <c r="H24" s="7">
        <f t="shared" si="8"/>
        <v>0.96244727614113534</v>
      </c>
      <c r="I24" s="5"/>
    </row>
    <row r="25" spans="1:14" x14ac:dyDescent="0.3">
      <c r="A25" s="16">
        <v>43636</v>
      </c>
      <c r="B25" s="18">
        <f t="shared" si="9"/>
        <v>0.25555555555555554</v>
      </c>
      <c r="C25" s="13"/>
      <c r="D25" s="20">
        <f t="shared" ref="D25:D27" si="10">$B$10</f>
        <v>1.2534599951814506E-2</v>
      </c>
      <c r="E25" s="7">
        <f t="shared" si="5"/>
        <v>1.5277542013240535</v>
      </c>
      <c r="F25" s="25">
        <f t="shared" ref="F25:F27" si="11">EXP(-$D$23*$E$23-(E25-$E$23)*D25)</f>
        <v>0.98018911899075112</v>
      </c>
      <c r="G25" s="7">
        <f t="shared" si="7"/>
        <v>3.0996542418817441E-3</v>
      </c>
      <c r="H25" s="7">
        <f t="shared" si="8"/>
        <v>0.95520182472419801</v>
      </c>
      <c r="I25" s="5"/>
    </row>
    <row r="26" spans="1:14" x14ac:dyDescent="0.3">
      <c r="A26" s="16">
        <v>43728</v>
      </c>
      <c r="B26" s="18">
        <f t="shared" si="9"/>
        <v>0.25555555555555554</v>
      </c>
      <c r="C26" s="13"/>
      <c r="D26" s="20">
        <f t="shared" si="10"/>
        <v>1.2534599951814506E-2</v>
      </c>
      <c r="E26" s="7">
        <f t="shared" si="5"/>
        <v>1.7796419907896681</v>
      </c>
      <c r="F26" s="25">
        <f t="shared" si="11"/>
        <v>0.97709923589309566</v>
      </c>
      <c r="G26" s="7">
        <f t="shared" si="7"/>
        <v>3.0898830976554548E-3</v>
      </c>
      <c r="H26" s="7">
        <f t="shared" si="8"/>
        <v>0.94801091818211936</v>
      </c>
      <c r="I26" s="5"/>
    </row>
    <row r="27" spans="1:14" x14ac:dyDescent="0.3">
      <c r="A27" s="16">
        <v>43819</v>
      </c>
      <c r="B27" s="18">
        <f t="shared" si="9"/>
        <v>0.25277777777777777</v>
      </c>
      <c r="C27" s="13"/>
      <c r="D27" s="20">
        <f t="shared" si="10"/>
        <v>1.2534599951814506E-2</v>
      </c>
      <c r="E27" s="7">
        <f t="shared" si="5"/>
        <v>2.0287918695002216</v>
      </c>
      <c r="F27" s="25">
        <f t="shared" si="11"/>
        <v>0.9740525206986026</v>
      </c>
      <c r="G27" s="7">
        <f t="shared" si="7"/>
        <v>3.0467151944930659E-3</v>
      </c>
      <c r="H27" s="7">
        <f t="shared" si="8"/>
        <v>0.94095142994988079</v>
      </c>
      <c r="I27" s="5"/>
    </row>
    <row r="28" spans="1:14" x14ac:dyDescent="0.3">
      <c r="A28" s="16">
        <v>43910</v>
      </c>
      <c r="B28" s="18">
        <f t="shared" si="9"/>
        <v>0.25277777777777777</v>
      </c>
      <c r="C28" s="13"/>
      <c r="D28" s="21">
        <f>$B$11</f>
        <v>1.5097385707475609E-2</v>
      </c>
      <c r="E28" s="7">
        <f t="shared" si="5"/>
        <v>2.2779417482107753</v>
      </c>
      <c r="F28" s="25">
        <f>EXP(-$D$23*$E$23-($E$27-$E$23)*$D$27-(E28-$E$27)*D28)</f>
        <v>0.97039549291931027</v>
      </c>
      <c r="G28" s="7">
        <f t="shared" si="7"/>
        <v>3.6570277792923322E-3</v>
      </c>
      <c r="H28" s="7">
        <f t="shared" si="8"/>
        <v>0.93394451112707133</v>
      </c>
      <c r="I28" s="5"/>
    </row>
    <row r="29" spans="1:14" x14ac:dyDescent="0.3">
      <c r="A29" s="16">
        <v>44002</v>
      </c>
      <c r="B29" s="18">
        <f t="shared" si="9"/>
        <v>0.25555555555555554</v>
      </c>
      <c r="C29" s="13"/>
      <c r="D29" s="21">
        <f t="shared" ref="D29:D31" si="12">$B$11</f>
        <v>1.5097385707475609E-2</v>
      </c>
      <c r="E29" s="7">
        <f t="shared" si="5"/>
        <v>2.52982953767639</v>
      </c>
      <c r="F29" s="25">
        <f t="shared" ref="F29:F31" si="13">EXP(-$D$23*$E$23-($E$27-$E$23)*$D$27-(E29-$E$27)*D29)</f>
        <v>0.96671223509303983</v>
      </c>
      <c r="G29" s="7">
        <f t="shared" si="7"/>
        <v>3.6832578262704363E-3</v>
      </c>
      <c r="H29" s="7">
        <f t="shared" si="8"/>
        <v>0.92691363291770312</v>
      </c>
      <c r="I29" s="5"/>
    </row>
    <row r="30" spans="1:14" x14ac:dyDescent="0.3">
      <c r="A30" s="16">
        <v>44094</v>
      </c>
      <c r="B30" s="18">
        <f t="shared" si="9"/>
        <v>0.25555555555555554</v>
      </c>
      <c r="C30" s="13"/>
      <c r="D30" s="21">
        <f t="shared" si="12"/>
        <v>1.5097385707475609E-2</v>
      </c>
      <c r="E30" s="7">
        <f t="shared" si="5"/>
        <v>2.7817173271420041</v>
      </c>
      <c r="F30" s="25">
        <f t="shared" si="13"/>
        <v>0.96304295753390146</v>
      </c>
      <c r="G30" s="7">
        <f t="shared" si="7"/>
        <v>3.6692775591383731E-3</v>
      </c>
      <c r="H30" s="7">
        <f t="shared" si="8"/>
        <v>0.9199356842430193</v>
      </c>
      <c r="I30" s="5"/>
    </row>
    <row r="31" spans="1:14" x14ac:dyDescent="0.3">
      <c r="A31" s="16">
        <v>44185</v>
      </c>
      <c r="B31" s="18">
        <f t="shared" si="9"/>
        <v>0.25277777777777777</v>
      </c>
      <c r="C31" s="13"/>
      <c r="D31" s="21">
        <f t="shared" si="12"/>
        <v>1.5097385707475609E-2</v>
      </c>
      <c r="E31" s="7">
        <f t="shared" si="5"/>
        <v>3.0308672058525579</v>
      </c>
      <c r="F31" s="25">
        <f t="shared" si="13"/>
        <v>0.95942726456713279</v>
      </c>
      <c r="G31" s="7">
        <f t="shared" si="7"/>
        <v>3.6156929667686688E-3</v>
      </c>
      <c r="H31" s="7">
        <f t="shared" si="8"/>
        <v>0.91308526194009565</v>
      </c>
      <c r="I31" s="5"/>
    </row>
    <row r="32" spans="1:14" x14ac:dyDescent="0.3">
      <c r="A32" s="16">
        <v>44275</v>
      </c>
      <c r="B32" s="18">
        <f t="shared" si="9"/>
        <v>0.25</v>
      </c>
      <c r="C32" s="13"/>
      <c r="D32" s="22">
        <f>$B$12</f>
        <v>1.6519378016566336E-2</v>
      </c>
      <c r="E32" s="7">
        <f t="shared" si="5"/>
        <v>3.2772791738080502</v>
      </c>
      <c r="F32" s="25">
        <f>EXP(-$D$23*$E$23-($E$27-$E$23)*$D$27-($E$31-$E$27)*$D$31-(E32-$E$31)*D32)</f>
        <v>0.9555297842492233</v>
      </c>
      <c r="G32" s="7">
        <f t="shared" si="7"/>
        <v>3.8974803179094852E-3</v>
      </c>
      <c r="H32" s="7">
        <f t="shared" si="8"/>
        <v>0.9063602951602957</v>
      </c>
      <c r="I32" s="5"/>
    </row>
    <row r="33" spans="1:9" x14ac:dyDescent="0.3">
      <c r="A33" s="16">
        <v>44367</v>
      </c>
      <c r="B33" s="18">
        <f t="shared" si="9"/>
        <v>0.25555555555555554</v>
      </c>
      <c r="C33" s="13"/>
      <c r="D33" s="22">
        <f t="shared" ref="D33:D35" si="14">$B$12</f>
        <v>1.6519378016566336E-2</v>
      </c>
      <c r="E33" s="7">
        <f t="shared" si="5"/>
        <v>3.5291669632736649</v>
      </c>
      <c r="F33" s="25">
        <f t="shared" ref="F33:F35" si="15">EXP(-$D$23*$E$23-($E$27-$E$23)*$D$27-($E$31-$E$27)*$D$31-(E33-$E$31)*D33)</f>
        <v>0.95156205716164621</v>
      </c>
      <c r="G33" s="7">
        <f t="shared" si="7"/>
        <v>3.9677270875770887E-3</v>
      </c>
      <c r="H33" s="7">
        <f t="shared" si="8"/>
        <v>0.8995370751797116</v>
      </c>
      <c r="I33" s="5"/>
    </row>
    <row r="34" spans="1:9" x14ac:dyDescent="0.3">
      <c r="A34" s="16">
        <v>44459</v>
      </c>
      <c r="B34" s="18">
        <f t="shared" si="9"/>
        <v>0.25555555555555554</v>
      </c>
      <c r="C34" s="13"/>
      <c r="D34" s="22">
        <f t="shared" si="14"/>
        <v>1.6519378016566336E-2</v>
      </c>
      <c r="E34" s="7">
        <f t="shared" si="5"/>
        <v>3.7810547527392795</v>
      </c>
      <c r="F34" s="25">
        <f t="shared" si="15"/>
        <v>0.9476108056026199</v>
      </c>
      <c r="G34" s="7">
        <f t="shared" si="7"/>
        <v>3.9512515590263142E-3</v>
      </c>
      <c r="H34" s="7">
        <f t="shared" si="8"/>
        <v>0.8927652214506635</v>
      </c>
      <c r="I34" s="5"/>
    </row>
    <row r="35" spans="1:9" x14ac:dyDescent="0.3">
      <c r="A35" s="16">
        <v>44550</v>
      </c>
      <c r="B35" s="18">
        <f t="shared" si="9"/>
        <v>0.25277777777777777</v>
      </c>
      <c r="C35" s="13"/>
      <c r="D35" s="22">
        <f t="shared" si="14"/>
        <v>1.6519378016566336E-2</v>
      </c>
      <c r="E35" s="7">
        <f t="shared" si="5"/>
        <v>4.0302046314498332</v>
      </c>
      <c r="F35" s="25">
        <f t="shared" si="15"/>
        <v>0.94371864325092014</v>
      </c>
      <c r="G35" s="7">
        <f t="shared" si="7"/>
        <v>3.8921623516997572E-3</v>
      </c>
      <c r="H35" s="7">
        <f t="shared" si="8"/>
        <v>0.8861171275794788</v>
      </c>
      <c r="I35" s="5"/>
    </row>
    <row r="36" spans="1:9" x14ac:dyDescent="0.3">
      <c r="A36" s="16">
        <v>44640</v>
      </c>
      <c r="B36" s="18">
        <f t="shared" si="9"/>
        <v>0.25</v>
      </c>
      <c r="C36" s="13"/>
      <c r="D36" s="23">
        <f>$B$13</f>
        <v>1.643428599805033E-2</v>
      </c>
      <c r="E36" s="7">
        <f t="shared" si="5"/>
        <v>4.2766165994053251</v>
      </c>
      <c r="F36" s="25">
        <f>EXP(-$D$23*$E$23-($E$27-$E$23)*$D$27-($E$31-$E$27)*$D$31-($E$35-$E$31)*$D$35-(E36-$E$35)*D36)</f>
        <v>0.93990468347310319</v>
      </c>
      <c r="G36" s="7">
        <f t="shared" si="7"/>
        <v>3.8139597778169554E-3</v>
      </c>
      <c r="H36" s="7">
        <f t="shared" si="8"/>
        <v>0.87959078388040079</v>
      </c>
      <c r="I36" s="5"/>
    </row>
    <row r="37" spans="1:9" x14ac:dyDescent="0.3">
      <c r="A37" s="16">
        <v>44732</v>
      </c>
      <c r="B37" s="18">
        <f t="shared" si="9"/>
        <v>0.25555555555555554</v>
      </c>
      <c r="C37" s="13"/>
      <c r="D37" s="23">
        <f t="shared" ref="D37:D39" si="16">$B$13</f>
        <v>1.643428599805033E-2</v>
      </c>
      <c r="E37" s="7">
        <f t="shared" si="5"/>
        <v>4.5285043888709398</v>
      </c>
      <c r="F37" s="25">
        <f t="shared" ref="F37:F39" si="17">EXP(-$D$23*$E$23-($E$27-$E$23)*$D$27-($E$31-$E$27)*$D$31-($E$35-$E$31)*$D$35-(E37-$E$35)*D37)</f>
        <v>0.93602189995401164</v>
      </c>
      <c r="G37" s="7">
        <f t="shared" si="7"/>
        <v>3.8827835190915483E-3</v>
      </c>
      <c r="H37" s="7">
        <f t="shared" si="8"/>
        <v>0.87296908890616431</v>
      </c>
      <c r="I37" s="5"/>
    </row>
    <row r="38" spans="1:9" x14ac:dyDescent="0.3">
      <c r="A38" s="16">
        <v>44824</v>
      </c>
      <c r="B38" s="18">
        <f t="shared" si="9"/>
        <v>0.25555555555555554</v>
      </c>
      <c r="C38" s="13"/>
      <c r="D38" s="23">
        <f t="shared" si="16"/>
        <v>1.643428599805033E-2</v>
      </c>
      <c r="E38" s="7">
        <f t="shared" si="5"/>
        <v>4.7803921783365544</v>
      </c>
      <c r="F38" s="25">
        <f t="shared" si="17"/>
        <v>0.93215515636760826</v>
      </c>
      <c r="G38" s="7">
        <f t="shared" si="7"/>
        <v>3.8667435864033761E-3</v>
      </c>
      <c r="H38" s="7">
        <f t="shared" si="8"/>
        <v>0.86639724307215926</v>
      </c>
      <c r="I38" s="5"/>
    </row>
    <row r="39" spans="1:9" x14ac:dyDescent="0.3">
      <c r="A39" s="16">
        <v>44915</v>
      </c>
      <c r="B39" s="18">
        <f t="shared" si="9"/>
        <v>0.25277777777777777</v>
      </c>
      <c r="C39" s="13"/>
      <c r="D39" s="23">
        <f t="shared" si="16"/>
        <v>1.643428599805033E-2</v>
      </c>
      <c r="E39" s="7">
        <f t="shared" si="5"/>
        <v>5.0295420570471085</v>
      </c>
      <c r="F39" s="25">
        <f t="shared" si="17"/>
        <v>0.92834615701266943</v>
      </c>
      <c r="G39" s="7">
        <f t="shared" si="7"/>
        <v>3.8089993549388357E-3</v>
      </c>
      <c r="H39" s="7">
        <f t="shared" si="8"/>
        <v>0.85994550182677321</v>
      </c>
      <c r="I39" s="5"/>
    </row>
    <row r="40" spans="1:9" x14ac:dyDescent="0.3">
      <c r="A40" s="10"/>
      <c r="B40" s="10"/>
      <c r="D40" s="10"/>
      <c r="E40" s="10"/>
      <c r="F40" s="10"/>
      <c r="G40" s="10"/>
      <c r="H40" s="10"/>
    </row>
  </sheetData>
  <mergeCells count="2">
    <mergeCell ref="L6:M7"/>
    <mergeCell ref="L12:N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ibrate">
                <anchor moveWithCells="1" sizeWithCells="1">
                  <from>
                    <xdr:col>2</xdr:col>
                    <xdr:colOff>243840</xdr:colOff>
                    <xdr:row>1</xdr:row>
                    <xdr:rowOff>53340</xdr:rowOff>
                  </from>
                  <to>
                    <xdr:col>3</xdr:col>
                    <xdr:colOff>1143000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7.a</vt:lpstr>
      <vt:lpstr>7.b</vt:lpstr>
      <vt:lpstr>7.e</vt:lpstr>
      <vt:lpstr>7.f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Palacios García</dc:creator>
  <cp:lastModifiedBy>Alejandro Palacios García</cp:lastModifiedBy>
  <dcterms:created xsi:type="dcterms:W3CDTF">2021-12-08T17:32:53Z</dcterms:created>
  <dcterms:modified xsi:type="dcterms:W3CDTF">2021-12-21T23:48:23Z</dcterms:modified>
</cp:coreProperties>
</file>